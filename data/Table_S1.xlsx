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https://naturalhistorymuseum-my.sharepoint.com/personal/m_stervander_nhm_ac_uk/Documents/Side projects/Great Auk/"/>
    </mc:Choice>
  </mc:AlternateContent>
  <xr:revisionPtr revIDLastSave="902" documentId="8_{189DF8B4-D90C-4D46-A9EE-1E27D02AC456}" xr6:coauthVersionLast="47" xr6:coauthVersionMax="47" xr10:uidLastSave="{1A777220-03CD-5A44-B7A0-D93C58ED885D}"/>
  <bookViews>
    <workbookView xWindow="6040" yWindow="1660" windowWidth="30260" windowHeight="17520" xr2:uid="{C9AD26C9-34CC-B041-B266-8F8DD5E79945}"/>
  </bookViews>
  <sheets>
    <sheet name="Caption Table S1" sheetId="7" r:id="rId1"/>
    <sheet name="Table S1" sheetId="6" r:id="rId2"/>
  </sheets>
  <definedNames>
    <definedName name="_xlnm._FilterDatabase" localSheetId="1" hidden="1">'Table S1'!$A$3:$AB$45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<sst xmlns="http://schemas.openxmlformats.org/spreadsheetml/2006/main" count="547" uniqueCount="230">
  <si>
    <t>Evolutionary change</t>
  </si>
  <si>
    <t>Sister 1 (less flight, if different)</t>
  </si>
  <si>
    <t>Sister 2 (more flight, if different)</t>
  </si>
  <si>
    <t>Sister pair taxonomy</t>
  </si>
  <si>
    <t>Flight habit</t>
  </si>
  <si>
    <t>Migration</t>
  </si>
  <si>
    <t>Species</t>
  </si>
  <si>
    <t>Flight ability</t>
  </si>
  <si>
    <t>HWI</t>
  </si>
  <si>
    <t>Migratory distance/habit</t>
  </si>
  <si>
    <t>Supergroup</t>
  </si>
  <si>
    <t>Order (suborder, infraorder, superfamily)</t>
  </si>
  <si>
    <t>Family</t>
  </si>
  <si>
    <t>toward flight loss</t>
  </si>
  <si>
    <t>N/A (sed.)</t>
  </si>
  <si>
    <t>Rhea pennata</t>
  </si>
  <si>
    <t>sedentary</t>
  </si>
  <si>
    <t>Tinamus guttatus</t>
  </si>
  <si>
    <t>degenerated</t>
  </si>
  <si>
    <t>Palaeognathae</t>
  </si>
  <si>
    <t>to migratory</t>
  </si>
  <si>
    <r>
      <t>sed.</t>
    </r>
    <r>
      <rPr>
        <sz val="11"/>
        <rFont val="Arial"/>
        <family val="2"/>
      </rPr>
      <t>→</t>
    </r>
    <r>
      <rPr>
        <sz val="11"/>
        <rFont val="Aptos Light"/>
      </rPr>
      <t>migr.</t>
    </r>
  </si>
  <si>
    <t>Chauna torquata</t>
  </si>
  <si>
    <t>volant</t>
  </si>
  <si>
    <t>Anas platyrhynchos</t>
  </si>
  <si>
    <t>migratory</t>
  </si>
  <si>
    <t>short–medium, partial</t>
  </si>
  <si>
    <t>Galloanseres</t>
  </si>
  <si>
    <t>Anseriformes</t>
  </si>
  <si>
    <t>Meleagris gallopavo</t>
  </si>
  <si>
    <t>Tympanuchus cupido</t>
  </si>
  <si>
    <t>volant*</t>
  </si>
  <si>
    <t>Galliformes</t>
  </si>
  <si>
    <t>Phasianidae</t>
  </si>
  <si>
    <t>Gallus gallus</t>
  </si>
  <si>
    <t>Coturnix japonica</t>
  </si>
  <si>
    <t>short</t>
  </si>
  <si>
    <t>minimal</t>
  </si>
  <si>
    <t>N/A (migr.)</t>
  </si>
  <si>
    <t>Podilymbus podiceps</t>
  </si>
  <si>
    <t>medium, partial</t>
  </si>
  <si>
    <t>Podiceps cristatus</t>
  </si>
  <si>
    <t>Podicipediformes</t>
  </si>
  <si>
    <t>Podicipedidae</t>
  </si>
  <si>
    <t>Tauraco erythrolophus</t>
  </si>
  <si>
    <t>Musophagiformes</t>
  </si>
  <si>
    <t>Musophagidae</t>
  </si>
  <si>
    <t>Lophotis ruficrista</t>
  </si>
  <si>
    <t>Otidiformes</t>
  </si>
  <si>
    <t>Otididae</t>
  </si>
  <si>
    <t>Geococcyx californianus</t>
  </si>
  <si>
    <t>Crotophaga sulcirostris</t>
  </si>
  <si>
    <t>(restr. short dispersive)</t>
  </si>
  <si>
    <t>Cuculiformes</t>
  </si>
  <si>
    <t>Cuculidae</t>
  </si>
  <si>
    <t>Ceuthmochares aereus</t>
  </si>
  <si>
    <t>Cuculus canorus</t>
  </si>
  <si>
    <t>long</t>
  </si>
  <si>
    <t>Mesitornis unicolor</t>
  </si>
  <si>
    <t>Pterocles gutturalis</t>
  </si>
  <si>
    <t>short, partial</t>
  </si>
  <si>
    <t>Columba livia</t>
  </si>
  <si>
    <t>Patagioenas fasciata</t>
  </si>
  <si>
    <t>Columbiformes</t>
  </si>
  <si>
    <t>Columbidae</t>
  </si>
  <si>
    <t>Psophia crepitans</t>
  </si>
  <si>
    <t>Balearica regulorum</t>
  </si>
  <si>
    <t>Gruiformes</t>
  </si>
  <si>
    <t>Heliornis fulica</t>
  </si>
  <si>
    <t>Charadrius vociferus</t>
  </si>
  <si>
    <t>medium–long, partial</t>
  </si>
  <si>
    <t>Charadriiformes</t>
  </si>
  <si>
    <t>Charadriidae</t>
  </si>
  <si>
    <t>sedentary**</t>
  </si>
  <si>
    <t>Alca torda</t>
  </si>
  <si>
    <t>short–medium</t>
  </si>
  <si>
    <t>Alcidae</t>
  </si>
  <si>
    <t>Rhynochetos jubatus</t>
  </si>
  <si>
    <t>Phaethon lepturus</t>
  </si>
  <si>
    <t>medium dispersive</t>
  </si>
  <si>
    <t>Aptenodytes forsteri</t>
  </si>
  <si>
    <t>Pelecanoides urinatrix</t>
  </si>
  <si>
    <t>short–medium dispersive</t>
  </si>
  <si>
    <t>Phalacrocorax carbo</t>
  </si>
  <si>
    <t>Suliformes</t>
  </si>
  <si>
    <t>Phalacrocoridae</t>
  </si>
  <si>
    <t>Mesembrinibis cayennensis</t>
  </si>
  <si>
    <t>Nipponia nippon</t>
  </si>
  <si>
    <t>migratory***</t>
  </si>
  <si>
    <t>medium, partial***</t>
  </si>
  <si>
    <t>Pelecaniformes</t>
  </si>
  <si>
    <t>Threskiornithidae</t>
  </si>
  <si>
    <t>Scopus umbretta</t>
  </si>
  <si>
    <t>Pelecanus crispus</t>
  </si>
  <si>
    <t>Cochlearius cochlearius</t>
  </si>
  <si>
    <t>Egretta garzetta</t>
  </si>
  <si>
    <t>Ardeidae</t>
  </si>
  <si>
    <t>Chordeiles acutipennis</t>
  </si>
  <si>
    <t>Antrostomus carolinensis</t>
  </si>
  <si>
    <t>medium</t>
  </si>
  <si>
    <t>Caprimulgiformes</t>
  </si>
  <si>
    <t>Caprimulgidae</t>
  </si>
  <si>
    <t>Hemiprocne comata</t>
  </si>
  <si>
    <t>Chaetura pelagica</t>
  </si>
  <si>
    <t>Apodiformes</t>
  </si>
  <si>
    <t>Apodidae</t>
  </si>
  <si>
    <t>Oreotrochilus melanogaster</t>
  </si>
  <si>
    <t>Calypte anna</t>
  </si>
  <si>
    <t>short dispersive, partial</t>
  </si>
  <si>
    <t>Trochilidae</t>
  </si>
  <si>
    <t>Tyto alba</t>
  </si>
  <si>
    <t>Strix occidentalis</t>
  </si>
  <si>
    <t>Strigiformes</t>
  </si>
  <si>
    <t>Haliaeetus albicilla</t>
  </si>
  <si>
    <t>Aquila chrysaetos</t>
  </si>
  <si>
    <t>short–long, partial</t>
  </si>
  <si>
    <t>Accipitriformes</t>
  </si>
  <si>
    <t>Accipitridae</t>
  </si>
  <si>
    <t>Colius striatus</t>
  </si>
  <si>
    <t>volant (/degen.)</t>
  </si>
  <si>
    <t>Urocolius indicus</t>
  </si>
  <si>
    <t>Coliiformes</t>
  </si>
  <si>
    <t>Coliidae</t>
  </si>
  <si>
    <t>Apaloderma vittatum</t>
  </si>
  <si>
    <t>Trogon melanurus</t>
  </si>
  <si>
    <t>Trogoniformes</t>
  </si>
  <si>
    <t>Trogonidae</t>
  </si>
  <si>
    <t>Buceros rhinoceros</t>
  </si>
  <si>
    <t>Bucorvus abyssinicus</t>
  </si>
  <si>
    <t>Bucerotiformes</t>
  </si>
  <si>
    <t>Eurystomus gularis</t>
  </si>
  <si>
    <t>Merops nubicus</t>
  </si>
  <si>
    <t>Coraciiformes</t>
  </si>
  <si>
    <t>Indicator maculatus</t>
  </si>
  <si>
    <t>Piciformes</t>
  </si>
  <si>
    <t>Cariama cristata</t>
  </si>
  <si>
    <t>Chunga burmeisteri</t>
  </si>
  <si>
    <t>Cariamiformes</t>
  </si>
  <si>
    <t>Cariamidae</t>
  </si>
  <si>
    <t>Herpetotheres cachinnans</t>
  </si>
  <si>
    <t>Falco peregrinus</t>
  </si>
  <si>
    <t>Falconiformes</t>
  </si>
  <si>
    <t>Falconidae</t>
  </si>
  <si>
    <t>Nestor notabilis</t>
  </si>
  <si>
    <t>Melopsittacus undulatus</t>
  </si>
  <si>
    <t>nomadic</t>
  </si>
  <si>
    <t>Psittaciformes</t>
  </si>
  <si>
    <t>Manacus manacus</t>
  </si>
  <si>
    <t>Lepidothrix coronata</t>
  </si>
  <si>
    <t>Passeriformes: Tyranni: Tyrannides: Piproidea</t>
  </si>
  <si>
    <t>Pipridae</t>
  </si>
  <si>
    <t>Scytalopus superciliaris</t>
  </si>
  <si>
    <t>Campylorhamphus procurvoides</t>
  </si>
  <si>
    <t>Passeriformes: Tyranni: Tyrannides: Furnarioidea</t>
  </si>
  <si>
    <t>Atrichornis clamosus</t>
  </si>
  <si>
    <t>Menura novaehollandiae</t>
  </si>
  <si>
    <t>Passeriformes: Passeri: Menurides</t>
  </si>
  <si>
    <t>Orthonyx spaldingii</t>
  </si>
  <si>
    <t>Pomatostomus ruficeps</t>
  </si>
  <si>
    <t>Passeriformes: Passeri: Orthonycides</t>
  </si>
  <si>
    <t>Aphelocoma coerulescens</t>
  </si>
  <si>
    <t>Corvus brachyrhynchos</t>
  </si>
  <si>
    <t>Passeriformes: Passeri: Corvides: Corvoidea</t>
  </si>
  <si>
    <t>Corvidae</t>
  </si>
  <si>
    <t>Panurus biarmicus</t>
  </si>
  <si>
    <t>(restr. short + irruptive)</t>
  </si>
  <si>
    <t>Alaudala cheleensis</t>
  </si>
  <si>
    <t>Passeriformes: Passeri: Corvides: Sylvioidea</t>
  </si>
  <si>
    <t>Lonchura striata</t>
  </si>
  <si>
    <t>Taeniopygia guttata</t>
  </si>
  <si>
    <t>Passeriformes: Passeri: Passerides: Passeroidea</t>
  </si>
  <si>
    <t>Estrildidae</t>
  </si>
  <si>
    <t>Geospiza fortis</t>
  </si>
  <si>
    <t>Nesospiza acunhae</t>
  </si>
  <si>
    <t>Passeriformes: Passeri: Passerides: Emberizoidea</t>
  </si>
  <si>
    <t>Thraupidae</t>
  </si>
  <si>
    <t>near lost</t>
  </si>
  <si>
    <t>lost</t>
  </si>
  <si>
    <t>Crinifer concolor</t>
  </si>
  <si>
    <t>Laterallus rogersi</t>
  </si>
  <si>
    <t>Anarhynchus alexandrinus</t>
  </si>
  <si>
    <t>Nannopterum harrisi</t>
  </si>
  <si>
    <t>Dryobates pubescens</t>
  </si>
  <si>
    <t>Mirandornithes</t>
  </si>
  <si>
    <t>Columbaves: Otidimorphae</t>
  </si>
  <si>
    <t>Columbaves: Columbimorphae</t>
  </si>
  <si>
    <t>Elementaves: Cursorimorphae</t>
  </si>
  <si>
    <t>Elementaves: Phaethonimorphae</t>
  </si>
  <si>
    <t>Elementaves: Procellarimorphae</t>
  </si>
  <si>
    <t>Elementaves: Pelecanimorphae</t>
  </si>
  <si>
    <t>Elementaves: Strisores</t>
  </si>
  <si>
    <t>Afroaves: Hieraves</t>
  </si>
  <si>
    <t>Afroaves: Coraciimorphae</t>
  </si>
  <si>
    <t>Australaves</t>
  </si>
  <si>
    <t>Aquatic</t>
  </si>
  <si>
    <t>yes</t>
  </si>
  <si>
    <t>Body mass (g)</t>
  </si>
  <si>
    <t>Winged</t>
  </si>
  <si>
    <t>migration</t>
  </si>
  <si>
    <t>Sister</t>
  </si>
  <si>
    <t>pair #</t>
  </si>
  <si>
    <t>locomotion</t>
  </si>
  <si>
    <t>species</t>
  </si>
  <si>
    <t>clade</t>
  </si>
  <si>
    <t>†</t>
  </si>
  <si>
    <t>*</t>
  </si>
  <si>
    <t>**</t>
  </si>
  <si>
    <t>***</t>
  </si>
  <si>
    <r>
      <t>Treated as 'flight degenerate' by Pan et al.</t>
    </r>
    <r>
      <rPr>
        <vertAlign val="superscript"/>
        <sz val="11"/>
        <color theme="1"/>
        <rFont val="Aptos Light"/>
      </rPr>
      <t>3</t>
    </r>
  </si>
  <si>
    <t>Considerable movements by swimming</t>
  </si>
  <si>
    <r>
      <t>Pinguinus impennis</t>
    </r>
    <r>
      <rPr>
        <vertAlign val="superscript"/>
        <sz val="11"/>
        <rFont val="Aptos Light"/>
      </rPr>
      <t>†</t>
    </r>
  </si>
  <si>
    <r>
      <t>Chlamydotis macqueenii</t>
    </r>
    <r>
      <rPr>
        <vertAlign val="superscript"/>
        <sz val="11"/>
        <rFont val="Aptos Light"/>
      </rPr>
      <t>†</t>
    </r>
  </si>
  <si>
    <t>length (bp)</t>
  </si>
  <si>
    <t>N genes</t>
  </si>
  <si>
    <t>Std. assembly stats</t>
  </si>
  <si>
    <r>
      <t xml:space="preserve">Trait values not available from main source data. </t>
    </r>
    <r>
      <rPr>
        <i/>
        <sz val="11"/>
        <color theme="1"/>
        <rFont val="Aptos Light"/>
      </rPr>
      <t>Pinguinus impennis</t>
    </r>
    <r>
      <rPr>
        <sz val="11"/>
        <color theme="1"/>
        <rFont val="Aptos Light"/>
      </rPr>
      <t xml:space="preserve"> HWI is novel data based on two specimens, body mass from Smith (2016)</t>
    </r>
    <r>
      <rPr>
        <vertAlign val="superscript"/>
        <sz val="11"/>
        <color theme="1"/>
        <rFont val="Aptos Light"/>
      </rPr>
      <t>64</t>
    </r>
    <r>
      <rPr>
        <sz val="11"/>
        <color theme="1"/>
        <rFont val="Aptos Light"/>
      </rPr>
      <t xml:space="preserve">; </t>
    </r>
    <r>
      <rPr>
        <i/>
        <sz val="11"/>
        <color theme="1"/>
        <rFont val="Aptos Light"/>
      </rPr>
      <t>Chlamydotis macqueenii</t>
    </r>
    <r>
      <rPr>
        <sz val="11"/>
        <color theme="1"/>
        <rFont val="Aptos Light"/>
      </rPr>
      <t xml:space="preserve"> species body mass is approximated by </t>
    </r>
    <r>
      <rPr>
        <i/>
        <sz val="11"/>
        <color theme="1"/>
        <rFont val="Aptos Light"/>
      </rPr>
      <t>C. u. undulata</t>
    </r>
    <r>
      <rPr>
        <sz val="11"/>
        <color theme="1"/>
        <rFont val="Aptos Light"/>
      </rPr>
      <t>.</t>
    </r>
  </si>
  <si>
    <r>
      <t>Extant population sedentary, but recently extinct populations in Siberia, Manchuria and northern China wintered in south-eastern China and Hainan</t>
    </r>
    <r>
      <rPr>
        <vertAlign val="superscript"/>
        <sz val="11"/>
        <color theme="1"/>
        <rFont val="Aptos Light"/>
      </rPr>
      <t>63</t>
    </r>
    <r>
      <rPr>
        <sz val="11"/>
        <color theme="1"/>
        <rFont val="Aptos Light"/>
      </rPr>
      <t>.</t>
    </r>
  </si>
  <si>
    <t>9 (vii)</t>
  </si>
  <si>
    <t>13 (vi)</t>
  </si>
  <si>
    <t>16 (v)</t>
  </si>
  <si>
    <t>17 (iv)</t>
  </si>
  <si>
    <t>18 (iii)</t>
  </si>
  <si>
    <t>23 (ii)</t>
  </si>
  <si>
    <t>33 (i)</t>
  </si>
  <si>
    <r>
      <t>Table S1.</t>
    </r>
    <r>
      <rPr>
        <sz val="12"/>
        <color theme="1"/>
        <rFont val="Aptos"/>
      </rPr>
      <t xml:space="preserve"> The 42 pairs of bird species included in the study are more closely related to each other than to any other of the selected species (though most often more closely related to unsampled species). Classification of flight ability, winged migration status, and migratory distance/habits are synthesized from Sheard et al.</t>
    </r>
    <r>
      <rPr>
        <vertAlign val="superscript"/>
        <sz val="12"/>
        <color theme="1"/>
        <rFont val="Aptos"/>
      </rPr>
      <t>21</t>
    </r>
    <r>
      <rPr>
        <sz val="12"/>
        <color theme="1"/>
        <rFont val="Aptos"/>
      </rPr>
      <t>, Billerman et al.</t>
    </r>
    <r>
      <rPr>
        <vertAlign val="superscript"/>
        <sz val="12"/>
        <color theme="1"/>
        <rFont val="Aptos"/>
      </rPr>
      <t>22</t>
    </r>
    <r>
      <rPr>
        <sz val="12"/>
        <color theme="1"/>
        <rFont val="Aptos"/>
      </rPr>
      <t>, and further literature review. Several species are partial migrants, with some populations sedentary and other migratory, sometimes of varying distances. Migration is directional unless otherwise stated. We have focused on evolutionary change and thus assess the maximal migration capacity, including those of historical populations. The hand–wing index (HWI), obtained from Sheard et al.</t>
    </r>
    <r>
      <rPr>
        <vertAlign val="superscript"/>
        <sz val="12"/>
        <color theme="1"/>
        <rFont val="Aptos"/>
      </rPr>
      <t>21</t>
    </r>
    <r>
      <rPr>
        <sz val="12"/>
        <color theme="1"/>
        <rFont val="Aptos"/>
      </rPr>
      <t>, is a measure of wing shape, with rounder and relatively shorter wings having lower values. The HWI of Great Auk is presented for the first time and is based on measurements of two specimens at the Natural History Museum (UK). Since the taxon pairs often are not strict sister taxa, but both are more closely related to other species within one of the two sister clades, HWI and body mass are presented both at species level and as an average for that clade- Taxonomy and nomenclature follow AviList</t>
    </r>
    <r>
      <rPr>
        <vertAlign val="superscript"/>
        <sz val="12"/>
        <color theme="1"/>
        <rFont val="Aptos"/>
      </rPr>
      <t>62</t>
    </r>
    <r>
      <rPr>
        <sz val="12"/>
        <color theme="1"/>
        <rFont val="Aptos"/>
      </rPr>
      <t>, after which the list is ordered. The additional sister pair numbers in Roman numerals within parentheses refer to “distinct pairs” in Figure 1.</t>
    </r>
  </si>
  <si>
    <t>Abbreviations: sed. (sedentary); migr. (migratory); restr. (restricted); std. (standardized); bp (base pairs).</t>
  </si>
  <si>
    <t>Additional references</t>
  </si>
  <si>
    <r>
      <rPr>
        <u/>
        <vertAlign val="superscript"/>
        <sz val="12"/>
        <color theme="10"/>
        <rFont val="Aptos Narrow (Body)"/>
      </rPr>
      <t>62</t>
    </r>
    <r>
      <rPr>
        <u/>
        <sz val="12"/>
        <color theme="10"/>
        <rFont val="Aptos Narrow"/>
        <family val="2"/>
        <scheme val="minor"/>
      </rPr>
      <t xml:space="preserve"> AviList Core Team. (2025.) AviList: The Global Avian Checklist, v2025. https://doi.org/10.2173/avilist.v2025</t>
    </r>
  </si>
  <si>
    <r>
      <rPr>
        <u/>
        <vertAlign val="superscript"/>
        <sz val="12"/>
        <color theme="10"/>
        <rFont val="Aptos Narrow (Body)"/>
      </rPr>
      <t>63</t>
    </r>
    <r>
      <rPr>
        <u/>
        <sz val="12"/>
        <color theme="10"/>
        <rFont val="Aptos Narrow"/>
        <family val="2"/>
        <scheme val="minor"/>
      </rPr>
      <t xml:space="preserve"> Matheu, E., del Hoyo, J., Kirwan, G.M., and Garcia, E. (2020.) Crested Ibis (Nipponia nippon), version 1.0. In Birds of the World (del Hoyo, J., Elliott, A., Sargatal, J., Christie, D.A., and de Juana, E., Editors). Cornell Lab of Ornithology, Ithaca, NY, USA. https://doi.org/10.2173/bow.creibi1.01</t>
    </r>
  </si>
  <si>
    <r>
      <rPr>
        <u/>
        <vertAlign val="superscript"/>
        <sz val="12"/>
        <color theme="10"/>
        <rFont val="Aptos Narrow (Body)"/>
      </rPr>
      <t>64</t>
    </r>
    <r>
      <rPr>
        <u/>
        <sz val="12"/>
        <color theme="10"/>
        <rFont val="Aptos Narrow"/>
        <family val="2"/>
        <scheme val="minor"/>
      </rPr>
      <t xml:space="preserve"> Smith, N.A. (2016.) Evolution of body mass in the Pan-Alcidae (Aves, Charadriiformes): the effects of combining neontological and paleontological data. Paleobiology 42, 8–26. https://doi.org/10.1017/pab.2015.24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</si>
</sst>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24" x14ac:knownFonts="1">
    <font>
      <sz val="12"/>
      <color theme="1"/>
      <name val="Aptos Narrow"/>
      <family val="2"/>
      <scheme val="minor"/>
    </font>
    <font>
      <sz val="11"/>
      <color theme="1"/>
      <name val="Aptos"/>
    </font>
    <font>
      <b/>
      <sz val="11"/>
      <color theme="1"/>
      <name val="Aptos"/>
    </font>
    <font>
      <sz val="11"/>
      <color theme="1"/>
      <name val="Aptos Narrow"/>
      <family val="2"/>
      <scheme val="minor"/>
    </font>
    <font>
      <sz val="11"/>
      <color theme="1"/>
      <name val="Aptos Light"/>
    </font>
    <font>
      <sz val="11"/>
      <name val="Aptos Light"/>
    </font>
    <font>
      <sz val="11"/>
      <color rgb="FFFF0000"/>
      <name val="Aptos Light"/>
    </font>
    <font>
      <i/>
      <sz val="11"/>
      <name val="Aptos Light"/>
    </font>
    <font>
      <sz val="11"/>
      <color theme="0"/>
      <name val="Aptos Light"/>
    </font>
    <font>
      <sz val="11"/>
      <name val="Arial"/>
      <family val="2"/>
    </font>
    <font>
      <sz val="11"/>
      <color rgb="FF7030A0"/>
      <name val="Aptos Light"/>
    </font>
    <font>
      <sz val="11"/>
      <color rgb="FF0070C0"/>
      <name val="Aptos Light"/>
    </font>
    <font>
      <sz val="11"/>
      <color rgb="FFC00000"/>
      <name val="Aptos Light"/>
    </font>
    <font>
      <i/>
      <sz val="11"/>
      <color theme="1"/>
      <name val="Aptos Light"/>
    </font>
    <font>
      <sz val="11"/>
      <color theme="0" tint="-0.34998626667073579"/>
      <name val="Aptos Light"/>
    </font>
    <font>
      <vertAlign val="superscript"/>
      <sz val="11"/>
      <color theme="1"/>
      <name val="Aptos Light"/>
    </font>
    <font>
      <i/>
      <sz val="11"/>
      <color theme="0" tint="-0.34998626667073579"/>
      <name val="Aptos Narrow"/>
      <family val="2"/>
      <scheme val="minor"/>
    </font>
    <font>
      <sz val="11"/>
      <color theme="0" tint="-0.34998626667073579"/>
      <name val="Aptos Narrow"/>
      <family val="2"/>
      <scheme val="minor"/>
    </font>
    <font>
      <sz val="12"/>
      <color theme="1"/>
      <name val="Aptos"/>
    </font>
    <font>
      <vertAlign val="superscript"/>
      <sz val="11"/>
      <name val="Aptos Light"/>
    </font>
    <font>
      <b/>
      <sz val="12"/>
      <color theme="1"/>
      <name val="Aptos"/>
    </font>
    <font>
      <vertAlign val="superscript"/>
      <sz val="12"/>
      <color theme="1"/>
      <name val="Aptos"/>
    </font>
    <font>
      <u/>
      <sz val="12"/>
      <color theme="10"/>
      <name val="Aptos Narrow"/>
      <family val="2"/>
      <scheme val="minor"/>
    </font>
    <font>
      <u/>
      <vertAlign val="superscript"/>
      <sz val="12"/>
      <color theme="10"/>
      <name val="Aptos Narrow (Body)"/>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D7EAE9"/>
        <bgColor indexed="64"/>
      </patternFill>
    </fill>
    <fill>
      <patternFill patternType="solid">
        <fgColor rgb="FF38938C"/>
        <bgColor indexed="64"/>
      </patternFill>
    </fill>
    <fill>
      <patternFill patternType="solid">
        <fgColor rgb="FFFEFBD1"/>
        <bgColor indexed="64"/>
      </patternFill>
    </fill>
    <fill>
      <patternFill patternType="solid">
        <fgColor rgb="FFD8D2DD"/>
        <bgColor indexed="64"/>
      </patternFill>
    </fill>
    <fill>
      <patternFill patternType="solid">
        <fgColor rgb="FF8CC3BA"/>
        <bgColor indexed="64"/>
      </patternFill>
    </fill>
    <fill>
      <patternFill patternType="solid">
        <fgColor theme="0" tint="-4.9989318521683403E-2"/>
        <bgColor indexed="64"/>
      </patternFill>
    </fill>
  </fills>
  <borders count="18">
    <border>
      <left/>
      <right/>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3">
    <xf numFmtId="0" fontId="0" fillId="0" borderId="0"/>
    <xf numFmtId="0" fontId="3" fillId="0" borderId="0"/>
    <xf numFmtId="0" fontId="22" fillId="0" borderId="0" applyNumberFormat="0" applyFill="0" applyBorder="0" applyAlignment="0" applyProtection="0"/>
  </cellStyleXfs>
  <cellXfs count="176">
    <xf numFmtId="0" fontId="0" fillId="0" borderId="0" xfId="0"/>
    <xf numFmtId="0" fontId="3" fillId="0" borderId="0" xfId="0" applyFont="1"/>
    <xf numFmtId="0" fontId="1" fillId="3" borderId="5" xfId="0" applyFont="1" applyFill="1" applyBorder="1" applyAlignment="1">
      <alignment wrapText="1"/>
    </xf>
    <xf numFmtId="0" fontId="1" fillId="4" borderId="4" xfId="0" applyFont="1" applyFill="1" applyBorder="1" applyAlignment="1">
      <alignment wrapText="1"/>
    </xf>
    <xf numFmtId="0" fontId="1" fillId="4" borderId="5" xfId="0" applyFont="1" applyFill="1" applyBorder="1" applyAlignment="1">
      <alignment wrapText="1"/>
    </xf>
    <xf numFmtId="0" fontId="1" fillId="4" borderId="6" xfId="0" applyFont="1" applyFill="1" applyBorder="1" applyAlignment="1">
      <alignment wrapText="1"/>
    </xf>
    <xf numFmtId="0" fontId="1" fillId="3" borderId="4" xfId="0" applyFont="1" applyFill="1" applyBorder="1" applyAlignment="1">
      <alignment wrapText="1"/>
    </xf>
    <xf numFmtId="0" fontId="3" fillId="0" borderId="0" xfId="0" applyFont="1" applyAlignment="1">
      <alignment wrapText="1"/>
    </xf>
    <xf numFmtId="0" fontId="4" fillId="3" borderId="7" xfId="0" applyFont="1" applyFill="1" applyBorder="1" applyAlignment="1">
      <alignment horizontal="left" indent="1"/>
    </xf>
    <xf numFmtId="0" fontId="5" fillId="5" borderId="0" xfId="0" applyFont="1" applyFill="1"/>
    <xf numFmtId="0" fontId="5" fillId="3" borderId="0" xfId="0" applyFont="1" applyFill="1"/>
    <xf numFmtId="0" fontId="7" fillId="4" borderId="7" xfId="0" applyFont="1" applyFill="1" applyBorder="1"/>
    <xf numFmtId="164" fontId="5" fillId="4" borderId="0" xfId="0" applyNumberFormat="1" applyFont="1" applyFill="1" applyAlignment="1">
      <alignment horizontal="right" indent="1"/>
    </xf>
    <xf numFmtId="0" fontId="5" fillId="4" borderId="0" xfId="0" applyFont="1" applyFill="1"/>
    <xf numFmtId="0" fontId="5" fillId="4" borderId="8" xfId="0" applyFont="1" applyFill="1" applyBorder="1"/>
    <xf numFmtId="0" fontId="7" fillId="3" borderId="7" xfId="0" applyFont="1" applyFill="1" applyBorder="1"/>
    <xf numFmtId="164" fontId="5" fillId="3" borderId="0" xfId="0" applyNumberFormat="1" applyFont="1" applyFill="1" applyAlignment="1">
      <alignment horizontal="right" indent="1"/>
    </xf>
    <xf numFmtId="0" fontId="5" fillId="4" borderId="7" xfId="0" applyFont="1" applyFill="1" applyBorder="1"/>
    <xf numFmtId="0" fontId="4" fillId="0" borderId="0" xfId="0" applyFont="1"/>
    <xf numFmtId="0" fontId="5" fillId="7" borderId="0" xfId="0" applyFont="1" applyFill="1"/>
    <xf numFmtId="0" fontId="5" fillId="8" borderId="0" xfId="0" applyFont="1" applyFill="1"/>
    <xf numFmtId="0" fontId="13" fillId="4" borderId="7" xfId="0" applyFont="1" applyFill="1" applyBorder="1"/>
    <xf numFmtId="0" fontId="4" fillId="4" borderId="0" xfId="0" applyFont="1" applyFill="1"/>
    <xf numFmtId="0" fontId="13" fillId="3" borderId="7" xfId="0" applyFont="1" applyFill="1" applyBorder="1"/>
    <xf numFmtId="0" fontId="4" fillId="3" borderId="0" xfId="0" applyFont="1" applyFill="1"/>
    <xf numFmtId="0" fontId="4" fillId="3" borderId="9" xfId="0" applyFont="1" applyFill="1" applyBorder="1" applyAlignment="1">
      <alignment horizontal="left" indent="1"/>
    </xf>
    <xf numFmtId="0" fontId="5" fillId="8" borderId="10" xfId="0" applyFont="1" applyFill="1" applyBorder="1"/>
    <xf numFmtId="0" fontId="5" fillId="3" borderId="10" xfId="0" applyFont="1" applyFill="1" applyBorder="1"/>
    <xf numFmtId="0" fontId="13" fillId="4" borderId="9" xfId="0" applyFont="1" applyFill="1" applyBorder="1"/>
    <xf numFmtId="0" fontId="4" fillId="4" borderId="10" xfId="0" applyFont="1" applyFill="1" applyBorder="1"/>
    <xf numFmtId="164" fontId="5" fillId="4" borderId="10" xfId="0" applyNumberFormat="1" applyFont="1" applyFill="1" applyBorder="1" applyAlignment="1">
      <alignment horizontal="right" indent="1"/>
    </xf>
    <xf numFmtId="0" fontId="13" fillId="3" borderId="9" xfId="0" applyFont="1" applyFill="1" applyBorder="1"/>
    <xf numFmtId="0" fontId="4" fillId="3" borderId="10" xfId="0" applyFont="1" applyFill="1" applyBorder="1"/>
    <xf numFmtId="164" fontId="5" fillId="3" borderId="10" xfId="0" applyNumberFormat="1" applyFont="1" applyFill="1" applyBorder="1" applyAlignment="1">
      <alignment horizontal="right" indent="1"/>
    </xf>
    <xf numFmtId="0" fontId="5" fillId="4" borderId="9" xfId="0" applyFont="1" applyFill="1" applyBorder="1"/>
    <xf numFmtId="0" fontId="5" fillId="4" borderId="10" xfId="0" applyFont="1" applyFill="1" applyBorder="1"/>
    <xf numFmtId="0" fontId="5" fillId="4" borderId="11" xfId="0" applyFont="1" applyFill="1" applyBorder="1"/>
    <xf numFmtId="0" fontId="13" fillId="0" borderId="0" xfId="0" applyFont="1"/>
    <xf numFmtId="0" fontId="4" fillId="0" borderId="0" xfId="0" applyFont="1" applyAlignment="1">
      <alignment horizontal="right" indent="1"/>
    </xf>
    <xf numFmtId="0" fontId="14" fillId="0" borderId="0" xfId="0" applyFont="1"/>
    <xf numFmtId="0" fontId="16" fillId="0" borderId="0" xfId="0" applyFont="1"/>
    <xf numFmtId="0" fontId="3" fillId="0" borderId="0" xfId="0" applyFont="1" applyAlignment="1">
      <alignment horizontal="right" indent="1"/>
    </xf>
    <xf numFmtId="0" fontId="17" fillId="0" borderId="0" xfId="0" applyFont="1"/>
    <xf numFmtId="0" fontId="10" fillId="4" borderId="0" xfId="0" applyFont="1" applyFill="1"/>
    <xf numFmtId="0" fontId="10" fillId="3" borderId="0" xfId="0" applyFont="1" applyFill="1"/>
    <xf numFmtId="0" fontId="11" fillId="3" borderId="0" xfId="0" applyFont="1" applyFill="1"/>
    <xf numFmtId="166" fontId="5" fillId="4" borderId="8" xfId="0" applyNumberFormat="1" applyFont="1" applyFill="1" applyBorder="1" applyAlignment="1">
      <alignment horizontal="right" indent="1"/>
    </xf>
    <xf numFmtId="166" fontId="4" fillId="4" borderId="8" xfId="0" applyNumberFormat="1" applyFont="1" applyFill="1" applyBorder="1" applyAlignment="1">
      <alignment horizontal="right" indent="1"/>
    </xf>
    <xf numFmtId="166" fontId="5" fillId="3" borderId="8" xfId="0" applyNumberFormat="1" applyFont="1" applyFill="1" applyBorder="1" applyAlignment="1">
      <alignment horizontal="right" indent="1"/>
    </xf>
    <xf numFmtId="166" fontId="5" fillId="3" borderId="11" xfId="0" applyNumberFormat="1" applyFont="1" applyFill="1" applyBorder="1" applyAlignment="1">
      <alignment horizontal="right" indent="1"/>
    </xf>
    <xf numFmtId="166" fontId="5" fillId="4" borderId="11" xfId="0" applyNumberFormat="1" applyFont="1" applyFill="1" applyBorder="1" applyAlignment="1">
      <alignment horizontal="right" indent="1"/>
    </xf>
    <xf numFmtId="0" fontId="1" fillId="4" borderId="0" xfId="0" applyFont="1" applyFill="1" applyAlignment="1">
      <alignment wrapText="1"/>
    </xf>
    <xf numFmtId="0" fontId="1" fillId="3" borderId="0" xfId="0" applyFont="1" applyFill="1" applyAlignment="1">
      <alignment wrapText="1"/>
    </xf>
    <xf numFmtId="0" fontId="1" fillId="4" borderId="7" xfId="0" applyFont="1" applyFill="1" applyBorder="1"/>
    <xf numFmtId="0" fontId="1" fillId="4" borderId="0" xfId="0" applyFont="1" applyFill="1"/>
    <xf numFmtId="0" fontId="2" fillId="3" borderId="0" xfId="0" applyFont="1" applyFill="1" applyAlignment="1">
      <alignment horizontal="center"/>
    </xf>
    <xf numFmtId="0" fontId="2" fillId="3" borderId="7" xfId="0" applyFont="1" applyFill="1" applyBorder="1" applyAlignment="1">
      <alignment horizontal="center"/>
    </xf>
    <xf numFmtId="0" fontId="2" fillId="3" borderId="7" xfId="0" applyFont="1" applyFill="1" applyBorder="1" applyAlignment="1">
      <alignment horizontal="left" wrapText="1"/>
    </xf>
    <xf numFmtId="0" fontId="2" fillId="3" borderId="4" xfId="0" applyFont="1" applyFill="1" applyBorder="1" applyAlignment="1">
      <alignment horizontal="left" wrapText="1"/>
    </xf>
    <xf numFmtId="0" fontId="4" fillId="4" borderId="5" xfId="0" applyFont="1" applyFill="1" applyBorder="1" applyAlignment="1">
      <alignment horizontal="center" wrapText="1"/>
    </xf>
    <xf numFmtId="0" fontId="4" fillId="3" borderId="5" xfId="0" applyFont="1" applyFill="1" applyBorder="1" applyAlignment="1">
      <alignment horizontal="center" wrapText="1"/>
    </xf>
    <xf numFmtId="0" fontId="18" fillId="3" borderId="5" xfId="0" applyFont="1" applyFill="1" applyBorder="1" applyAlignment="1">
      <alignment wrapText="1"/>
    </xf>
    <xf numFmtId="0" fontId="18" fillId="4" borderId="5" xfId="0" applyFont="1" applyFill="1" applyBorder="1" applyAlignment="1">
      <alignment wrapText="1"/>
    </xf>
    <xf numFmtId="0" fontId="18" fillId="0" borderId="5" xfId="0" applyFont="1" applyBorder="1" applyAlignment="1">
      <alignment wrapText="1"/>
    </xf>
    <xf numFmtId="0" fontId="4" fillId="0" borderId="0" xfId="0" applyFont="1" applyAlignment="1">
      <alignment horizontal="right"/>
    </xf>
    <xf numFmtId="0" fontId="15" fillId="0" borderId="0" xfId="0" applyFont="1" applyAlignment="1">
      <alignment horizontal="right"/>
    </xf>
    <xf numFmtId="0" fontId="2" fillId="4" borderId="7" xfId="0" applyFont="1" applyFill="1" applyBorder="1" applyAlignment="1">
      <alignment horizontal="center"/>
    </xf>
    <xf numFmtId="0" fontId="2" fillId="4" borderId="0" xfId="0" applyFont="1" applyFill="1" applyAlignment="1">
      <alignment horizontal="center"/>
    </xf>
    <xf numFmtId="0" fontId="2" fillId="4" borderId="8" xfId="0" applyFont="1" applyFill="1" applyBorder="1" applyAlignment="1">
      <alignment horizontal="center"/>
    </xf>
    <xf numFmtId="0" fontId="0" fillId="0" borderId="8" xfId="0" applyBorder="1" applyAlignment="1">
      <alignment horizontal="center"/>
    </xf>
    <xf numFmtId="0" fontId="1" fillId="4" borderId="0" xfId="0" applyFont="1" applyFill="1" applyAlignment="1">
      <alignment horizontal="center"/>
    </xf>
    <xf numFmtId="0" fontId="0" fillId="0" borderId="0" xfId="0" applyAlignment="1">
      <alignment horizontal="center"/>
    </xf>
    <xf numFmtId="0" fontId="1" fillId="3" borderId="0" xfId="0" applyFont="1" applyFill="1" applyAlignment="1">
      <alignment horizontal="center"/>
    </xf>
    <xf numFmtId="0" fontId="1" fillId="4" borderId="7" xfId="0" applyFont="1" applyFill="1" applyBorder="1" applyAlignment="1">
      <alignment horizontal="center"/>
    </xf>
    <xf numFmtId="0" fontId="4" fillId="4" borderId="4" xfId="0" applyFont="1" applyFill="1" applyBorder="1" applyAlignment="1">
      <alignment horizontal="center" wrapText="1"/>
    </xf>
    <xf numFmtId="166" fontId="5" fillId="4" borderId="7" xfId="0" applyNumberFormat="1" applyFont="1" applyFill="1" applyBorder="1" applyAlignment="1">
      <alignment horizontal="right" indent="1"/>
    </xf>
    <xf numFmtId="166" fontId="4" fillId="4" borderId="7" xfId="0" applyNumberFormat="1" applyFont="1" applyFill="1" applyBorder="1" applyAlignment="1">
      <alignment horizontal="right" indent="1"/>
    </xf>
    <xf numFmtId="166" fontId="5" fillId="4" borderId="9" xfId="0" applyNumberFormat="1" applyFont="1" applyFill="1" applyBorder="1" applyAlignment="1">
      <alignment horizontal="right" indent="1"/>
    </xf>
    <xf numFmtId="0" fontId="2" fillId="3" borderId="0" xfId="0" applyFont="1" applyFill="1" applyBorder="1" applyAlignment="1">
      <alignment horizontal="center"/>
    </xf>
    <xf numFmtId="0" fontId="8" fillId="6" borderId="7" xfId="0" applyFont="1" applyFill="1" applyBorder="1"/>
    <xf numFmtId="0" fontId="5" fillId="5" borderId="7" xfId="0" applyFont="1" applyFill="1" applyBorder="1"/>
    <xf numFmtId="0" fontId="5" fillId="9" borderId="7" xfId="0" applyFont="1" applyFill="1" applyBorder="1"/>
    <xf numFmtId="0" fontId="4" fillId="4" borderId="7" xfId="0" applyFont="1" applyFill="1" applyBorder="1"/>
    <xf numFmtId="0" fontId="4" fillId="4" borderId="9" xfId="0" applyFont="1" applyFill="1" applyBorder="1"/>
    <xf numFmtId="0" fontId="1" fillId="3" borderId="1" xfId="0" applyFont="1" applyFill="1" applyBorder="1" applyAlignment="1">
      <alignment vertical="center"/>
    </xf>
    <xf numFmtId="0" fontId="2" fillId="3"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0" xfId="0" applyFont="1" applyAlignment="1">
      <alignment vertical="center"/>
    </xf>
    <xf numFmtId="3" fontId="5" fillId="4" borderId="0" xfId="0" applyNumberFormat="1" applyFont="1" applyFill="1" applyBorder="1" applyAlignment="1">
      <alignment horizontal="right" indent="1"/>
    </xf>
    <xf numFmtId="3" fontId="4" fillId="4" borderId="0" xfId="0" applyNumberFormat="1" applyFont="1" applyFill="1" applyBorder="1" applyAlignment="1">
      <alignment horizontal="right" indent="1"/>
    </xf>
    <xf numFmtId="3" fontId="5" fillId="4" borderId="0" xfId="0" applyNumberFormat="1" applyFont="1" applyFill="1" applyAlignment="1">
      <alignment horizontal="right" indent="1"/>
    </xf>
    <xf numFmtId="3" fontId="5" fillId="4" borderId="10" xfId="0" applyNumberFormat="1" applyFont="1" applyFill="1" applyBorder="1" applyAlignment="1">
      <alignment horizontal="right" indent="1"/>
    </xf>
    <xf numFmtId="0" fontId="1" fillId="3" borderId="7" xfId="0" applyFont="1" applyFill="1" applyBorder="1" applyAlignment="1">
      <alignment horizontal="center"/>
    </xf>
    <xf numFmtId="0" fontId="0" fillId="3" borderId="8" xfId="0" applyFill="1" applyBorder="1" applyAlignment="1">
      <alignment horizontal="center"/>
    </xf>
    <xf numFmtId="3" fontId="5" fillId="3" borderId="0" xfId="0" applyNumberFormat="1" applyFont="1" applyFill="1" applyBorder="1" applyAlignment="1">
      <alignment horizontal="right" indent="1"/>
    </xf>
    <xf numFmtId="3" fontId="4" fillId="3" borderId="0" xfId="0" applyNumberFormat="1" applyFont="1" applyFill="1" applyBorder="1" applyAlignment="1">
      <alignment horizontal="right" indent="1"/>
    </xf>
    <xf numFmtId="3" fontId="5" fillId="3" borderId="0" xfId="0" applyNumberFormat="1" applyFont="1" applyFill="1" applyAlignment="1">
      <alignment horizontal="right" indent="1"/>
    </xf>
    <xf numFmtId="3" fontId="5" fillId="3" borderId="10" xfId="0" applyNumberFormat="1" applyFont="1" applyFill="1" applyBorder="1" applyAlignment="1">
      <alignment horizontal="right" indent="1"/>
    </xf>
    <xf numFmtId="0" fontId="2" fillId="10" borderId="1" xfId="0" applyFont="1" applyFill="1" applyBorder="1" applyAlignment="1">
      <alignment horizontal="center" vertical="center"/>
    </xf>
    <xf numFmtId="0" fontId="2" fillId="10" borderId="2" xfId="0" applyFont="1" applyFill="1" applyBorder="1" applyAlignment="1">
      <alignment horizontal="center" vertical="center"/>
    </xf>
    <xf numFmtId="0" fontId="0" fillId="10" borderId="2" xfId="0" applyFill="1" applyBorder="1" applyAlignment="1">
      <alignment vertical="center"/>
    </xf>
    <xf numFmtId="0" fontId="0" fillId="10" borderId="3" xfId="0" applyFill="1" applyBorder="1" applyAlignment="1">
      <alignment vertical="center"/>
    </xf>
    <xf numFmtId="0" fontId="1" fillId="3" borderId="7" xfId="0" applyFont="1" applyFill="1" applyBorder="1" applyAlignment="1">
      <alignment horizontal="center" wrapText="1"/>
    </xf>
    <xf numFmtId="0" fontId="4" fillId="3" borderId="4" xfId="0" applyFont="1" applyFill="1" applyBorder="1" applyAlignment="1">
      <alignment horizontal="center" wrapText="1"/>
    </xf>
    <xf numFmtId="166" fontId="5" fillId="3" borderId="7" xfId="0" applyNumberFormat="1" applyFont="1" applyFill="1" applyBorder="1" applyAlignment="1">
      <alignment horizontal="right" indent="1"/>
    </xf>
    <xf numFmtId="166" fontId="5" fillId="3" borderId="9" xfId="0" applyNumberFormat="1" applyFont="1" applyFill="1" applyBorder="1" applyAlignment="1">
      <alignment horizontal="right" indent="1"/>
    </xf>
    <xf numFmtId="0" fontId="4" fillId="3" borderId="12" xfId="0" applyFont="1" applyFill="1" applyBorder="1" applyAlignment="1">
      <alignment horizontal="left" indent="1"/>
    </xf>
    <xf numFmtId="0" fontId="5" fillId="5" borderId="13" xfId="0" applyFont="1" applyFill="1" applyBorder="1"/>
    <xf numFmtId="0" fontId="5" fillId="3" borderId="13" xfId="0" applyFont="1" applyFill="1" applyBorder="1"/>
    <xf numFmtId="0" fontId="7" fillId="4" borderId="12" xfId="0" applyFont="1" applyFill="1" applyBorder="1"/>
    <xf numFmtId="0" fontId="5" fillId="5" borderId="12" xfId="0" applyFont="1" applyFill="1" applyBorder="1"/>
    <xf numFmtId="164" fontId="5" fillId="4" borderId="13" xfId="0" applyNumberFormat="1" applyFont="1" applyFill="1" applyBorder="1" applyAlignment="1">
      <alignment horizontal="right" indent="1"/>
    </xf>
    <xf numFmtId="0" fontId="5" fillId="4" borderId="13" xfId="0" applyFont="1" applyFill="1" applyBorder="1"/>
    <xf numFmtId="166" fontId="5" fillId="4" borderId="12" xfId="0" applyNumberFormat="1" applyFont="1" applyFill="1" applyBorder="1" applyAlignment="1">
      <alignment horizontal="right" indent="1"/>
    </xf>
    <xf numFmtId="166" fontId="5" fillId="4" borderId="14" xfId="0" applyNumberFormat="1" applyFont="1" applyFill="1" applyBorder="1" applyAlignment="1">
      <alignment horizontal="right" indent="1"/>
    </xf>
    <xf numFmtId="3" fontId="5" fillId="4" borderId="13" xfId="0" applyNumberFormat="1" applyFont="1" applyFill="1" applyBorder="1" applyAlignment="1">
      <alignment horizontal="right" indent="1"/>
    </xf>
    <xf numFmtId="0" fontId="7" fillId="3" borderId="12" xfId="0" applyFont="1" applyFill="1" applyBorder="1"/>
    <xf numFmtId="164" fontId="5" fillId="3" borderId="13" xfId="0" applyNumberFormat="1" applyFont="1" applyFill="1" applyBorder="1" applyAlignment="1">
      <alignment horizontal="right" indent="1"/>
    </xf>
    <xf numFmtId="166" fontId="5" fillId="3" borderId="12" xfId="0" applyNumberFormat="1" applyFont="1" applyFill="1" applyBorder="1" applyAlignment="1">
      <alignment horizontal="right" indent="1"/>
    </xf>
    <xf numFmtId="166" fontId="5" fillId="3" borderId="14" xfId="0" applyNumberFormat="1" applyFont="1" applyFill="1" applyBorder="1" applyAlignment="1">
      <alignment horizontal="right" indent="1"/>
    </xf>
    <xf numFmtId="3" fontId="5" fillId="3" borderId="13" xfId="0" applyNumberFormat="1" applyFont="1" applyFill="1" applyBorder="1" applyAlignment="1">
      <alignment horizontal="right" indent="1"/>
    </xf>
    <xf numFmtId="0" fontId="5" fillId="4" borderId="12" xfId="0" applyFont="1" applyFill="1" applyBorder="1"/>
    <xf numFmtId="0" fontId="5" fillId="4" borderId="14" xfId="0" applyFont="1" applyFill="1" applyBorder="1"/>
    <xf numFmtId="0" fontId="5" fillId="7" borderId="0" xfId="0" applyFont="1" applyFill="1" applyBorder="1"/>
    <xf numFmtId="164" fontId="5" fillId="4" borderId="0" xfId="0" applyNumberFormat="1" applyFont="1" applyFill="1" applyBorder="1" applyAlignment="1">
      <alignment horizontal="right" indent="1"/>
    </xf>
    <xf numFmtId="0" fontId="5" fillId="4" borderId="0" xfId="0" applyFont="1" applyFill="1" applyBorder="1"/>
    <xf numFmtId="0" fontId="5" fillId="3" borderId="0" xfId="0" applyFont="1" applyFill="1" applyBorder="1"/>
    <xf numFmtId="164" fontId="5" fillId="3" borderId="0" xfId="0" applyNumberFormat="1" applyFont="1" applyFill="1" applyBorder="1" applyAlignment="1">
      <alignment horizontal="right" indent="1"/>
    </xf>
    <xf numFmtId="0" fontId="12" fillId="3" borderId="0" xfId="0" applyFont="1" applyFill="1" applyBorder="1"/>
    <xf numFmtId="0" fontId="5" fillId="5" borderId="0" xfId="0" applyFont="1" applyFill="1" applyBorder="1"/>
    <xf numFmtId="0" fontId="11" fillId="3" borderId="0" xfId="0" applyFont="1" applyFill="1" applyBorder="1"/>
    <xf numFmtId="0" fontId="6" fillId="3" borderId="0" xfId="0" applyFont="1" applyFill="1" applyBorder="1"/>
    <xf numFmtId="0" fontId="4" fillId="4" borderId="0" xfId="0" applyFont="1" applyFill="1" applyBorder="1"/>
    <xf numFmtId="0" fontId="4" fillId="3" borderId="0" xfId="0" applyFont="1" applyFill="1" applyBorder="1"/>
    <xf numFmtId="0" fontId="4" fillId="3" borderId="15" xfId="0" applyFont="1" applyFill="1" applyBorder="1" applyAlignment="1">
      <alignment horizontal="left" indent="1"/>
    </xf>
    <xf numFmtId="0" fontId="5" fillId="8" borderId="16" xfId="0" applyFont="1" applyFill="1" applyBorder="1"/>
    <xf numFmtId="0" fontId="5" fillId="3" borderId="16" xfId="0" applyFont="1" applyFill="1" applyBorder="1"/>
    <xf numFmtId="0" fontId="7" fillId="4" borderId="15" xfId="0" applyFont="1" applyFill="1" applyBorder="1"/>
    <xf numFmtId="0" fontId="4" fillId="4" borderId="15" xfId="0" applyFont="1" applyFill="1" applyBorder="1"/>
    <xf numFmtId="164" fontId="5" fillId="4" borderId="16" xfId="0" applyNumberFormat="1" applyFont="1" applyFill="1" applyBorder="1" applyAlignment="1">
      <alignment horizontal="right" indent="1"/>
    </xf>
    <xf numFmtId="0" fontId="5" fillId="7" borderId="16" xfId="0" applyFont="1" applyFill="1" applyBorder="1"/>
    <xf numFmtId="0" fontId="10" fillId="4" borderId="16" xfId="0" applyFont="1" applyFill="1" applyBorder="1"/>
    <xf numFmtId="0" fontId="5" fillId="4" borderId="16" xfId="0" applyFont="1" applyFill="1" applyBorder="1"/>
    <xf numFmtId="166" fontId="5" fillId="4" borderId="15" xfId="0" applyNumberFormat="1" applyFont="1" applyFill="1" applyBorder="1" applyAlignment="1">
      <alignment horizontal="right" indent="1"/>
    </xf>
    <xf numFmtId="166" fontId="5" fillId="4" borderId="17" xfId="0" applyNumberFormat="1" applyFont="1" applyFill="1" applyBorder="1" applyAlignment="1">
      <alignment horizontal="right" indent="1"/>
    </xf>
    <xf numFmtId="3" fontId="5" fillId="4" borderId="16" xfId="0" applyNumberFormat="1" applyFont="1" applyFill="1" applyBorder="1" applyAlignment="1">
      <alignment horizontal="right" indent="1"/>
    </xf>
    <xf numFmtId="0" fontId="7" fillId="3" borderId="15" xfId="0" applyFont="1" applyFill="1" applyBorder="1"/>
    <xf numFmtId="0" fontId="4" fillId="3" borderId="16" xfId="0" applyFont="1" applyFill="1" applyBorder="1"/>
    <xf numFmtId="164" fontId="5" fillId="3" borderId="16" xfId="0" applyNumberFormat="1" applyFont="1" applyFill="1" applyBorder="1" applyAlignment="1">
      <alignment horizontal="right" indent="1"/>
    </xf>
    <xf numFmtId="0" fontId="12" fillId="3" borderId="16" xfId="0" applyFont="1" applyFill="1" applyBorder="1"/>
    <xf numFmtId="166" fontId="5" fillId="3" borderId="15" xfId="0" applyNumberFormat="1" applyFont="1" applyFill="1" applyBorder="1" applyAlignment="1">
      <alignment horizontal="right" indent="1"/>
    </xf>
    <xf numFmtId="166" fontId="5" fillId="3" borderId="17" xfId="0" applyNumberFormat="1" applyFont="1" applyFill="1" applyBorder="1" applyAlignment="1">
      <alignment horizontal="right" indent="1"/>
    </xf>
    <xf numFmtId="3" fontId="5" fillId="3" borderId="16" xfId="0" applyNumberFormat="1" applyFont="1" applyFill="1" applyBorder="1" applyAlignment="1">
      <alignment horizontal="right" indent="1"/>
    </xf>
    <xf numFmtId="0" fontId="5" fillId="4" borderId="15" xfId="0" applyFont="1" applyFill="1" applyBorder="1"/>
    <xf numFmtId="0" fontId="5" fillId="4" borderId="17" xfId="0" applyFont="1" applyFill="1" applyBorder="1"/>
    <xf numFmtId="0" fontId="5" fillId="8" borderId="13" xfId="0" applyFont="1" applyFill="1" applyBorder="1"/>
    <xf numFmtId="0" fontId="5" fillId="7" borderId="13" xfId="0" applyFont="1" applyFill="1" applyBorder="1"/>
    <xf numFmtId="0" fontId="10" fillId="4" borderId="13" xfId="0" applyFont="1" applyFill="1" applyBorder="1"/>
    <xf numFmtId="0" fontId="10" fillId="3" borderId="13" xfId="0" applyFont="1" applyFill="1" applyBorder="1"/>
    <xf numFmtId="0" fontId="5" fillId="8" borderId="0" xfId="0" applyFont="1" applyFill="1" applyBorder="1"/>
    <xf numFmtId="0" fontId="10" fillId="4" borderId="0" xfId="0" applyFont="1" applyFill="1" applyBorder="1"/>
    <xf numFmtId="0" fontId="13" fillId="4" borderId="15" xfId="0" applyFont="1" applyFill="1" applyBorder="1"/>
    <xf numFmtId="0" fontId="4" fillId="4" borderId="16" xfId="0" applyFont="1" applyFill="1" applyBorder="1"/>
    <xf numFmtId="0" fontId="13" fillId="3" borderId="15" xfId="0" applyFont="1" applyFill="1" applyBorder="1"/>
    <xf numFmtId="0" fontId="13" fillId="4" borderId="12" xfId="0" applyFont="1" applyFill="1" applyBorder="1"/>
    <xf numFmtId="0" fontId="4" fillId="4" borderId="12" xfId="0" applyFont="1" applyFill="1" applyBorder="1"/>
    <xf numFmtId="0" fontId="4" fillId="4" borderId="13" xfId="0" applyFont="1" applyFill="1" applyBorder="1"/>
    <xf numFmtId="0" fontId="13" fillId="3" borderId="12" xfId="0" applyFont="1" applyFill="1" applyBorder="1"/>
    <xf numFmtId="0" fontId="4" fillId="3" borderId="13" xfId="0" applyFont="1" applyFill="1" applyBorder="1"/>
    <xf numFmtId="0" fontId="20" fillId="0" borderId="0" xfId="0" applyFont="1" applyAlignment="1">
      <alignment vertical="center" wrapText="1"/>
    </xf>
    <xf numFmtId="0" fontId="18" fillId="0" borderId="0" xfId="0" applyFont="1" applyAlignment="1">
      <alignment vertical="center" wrapText="1"/>
    </xf>
    <xf numFmtId="0" fontId="22" fillId="0" borderId="0" xfId="2" applyAlignment="1">
      <alignment horizontal="left" vertical="center" wrapText="1" indent="2"/>
    </xf>
  </cellXfs>
  <cellStyles count="3">
    <cellStyle name="Hyperlink" xfId="2" builtinId="8"/>
    <cellStyle name="Normal" xfId="0" builtinId="0"/>
    <cellStyle name="Normal 2" xfId="1" xr:uid="{0FF7A480-3218-1649-955A-A4BA8C4981AB}"/>
  </cellStyles>
  <dxfs count="0"/>
  <tableStyles count="0" defaultTableStyle="TableStyleMedium2" defaultPivotStyle="PivotStyleLight16"/>
  <colors>
    <mruColors>
      <color rgb="FFC7EABE"/>
      <color rgb="FFBAEA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7/pab.2015.24" TargetMode="External"/><Relationship Id="rId2" Type="http://schemas.openxmlformats.org/officeDocument/2006/relationships/hyperlink" Target="https://doi.org/10.2173/bow.creibi1.01" TargetMode="External"/><Relationship Id="rId1" Type="http://schemas.openxmlformats.org/officeDocument/2006/relationships/hyperlink" Target="https://doi.org/10.2173/avilist.v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5121-B152-2F41-AF10-AA8D06F58B76}">
  <dimension ref="A1:A8"/>
  <sheetViews>
    <sheetView tabSelected="1" workbookViewId="0"/>
  </sheetViews>
  <sheetFormatPr baseColWidth="10" defaultRowHeight="16" x14ac:dyDescent="0.2"/>
  <cols>
    <col min="1" max="1" width="150.6640625" customWidth="1"/>
  </cols>
  <sheetData>
    <row r="1" spans="1:1" ht="165" x14ac:dyDescent="0.2">
      <c r="A1" s="173" t="s">
        <v>224</v>
      </c>
    </row>
    <row r="2" spans="1:1" x14ac:dyDescent="0.2">
      <c r="A2" s="174"/>
    </row>
    <row r="3" spans="1:1" ht="17" x14ac:dyDescent="0.2">
      <c r="A3" s="174" t="s">
        <v>225</v>
      </c>
    </row>
    <row r="4" spans="1:1" x14ac:dyDescent="0.2">
      <c r="A4" s="174"/>
    </row>
    <row r="5" spans="1:1" ht="17" x14ac:dyDescent="0.2">
      <c r="A5" s="173" t="s">
        <v>226</v>
      </c>
    </row>
    <row r="6" spans="1:1" ht="20" x14ac:dyDescent="0.2">
      <c r="A6" s="175" t="s">
        <v>227</v>
      </c>
    </row>
    <row r="7" spans="1:1" ht="37" x14ac:dyDescent="0.2">
      <c r="A7" s="175" t="s">
        <v>228</v>
      </c>
    </row>
    <row r="8" spans="1:1" ht="37" x14ac:dyDescent="0.2">
      <c r="A8" s="175" t="s">
        <v>229</v>
      </c>
    </row>
  </sheetData>
  <hyperlinks>
    <hyperlink ref="A6" r:id="rId1" display="https://doi.org/10.2173/avilist.v2025" xr:uid="{B3482A06-6C0B-034F-8F2F-55402D071577}"/>
    <hyperlink ref="A7" r:id="rId2" display="https://doi.org/10.2173/bow.creibi1.01" xr:uid="{E298EADC-1909-5F40-A536-511B1E90A377}"/>
    <hyperlink ref="A8" r:id="rId3" display="https://doi.org/10.1017/pab.2015.24" xr:uid="{32F1E2F4-DCB5-5140-896B-29C143BC91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F4C2-2FC8-644B-A3AB-0650EA11BB87}">
  <dimension ref="A1:AZ89"/>
  <sheetViews>
    <sheetView zoomScale="125" workbookViewId="0">
      <pane xSplit="2" ySplit="3" topLeftCell="C4" activePane="bottomRight" state="frozen"/>
      <selection pane="topRight" activeCell="C1" sqref="C1"/>
      <selection pane="bottomLeft" activeCell="A3" sqref="A3"/>
      <selection pane="bottomRight"/>
    </sheetView>
  </sheetViews>
  <sheetFormatPr baseColWidth="10" defaultRowHeight="15" x14ac:dyDescent="0.2"/>
  <cols>
    <col min="1" max="1" width="7" style="1" customWidth="1"/>
    <col min="2" max="2" width="14.33203125" style="1" bestFit="1" customWidth="1"/>
    <col min="3" max="3" width="10.6640625" style="1" customWidth="1"/>
    <col min="4" max="4" width="23.6640625" style="1" bestFit="1" customWidth="1"/>
    <col min="5" max="5" width="13.1640625" style="1" customWidth="1"/>
    <col min="6" max="7" width="9.1640625" style="41" customWidth="1"/>
    <col min="8" max="8" width="10.83203125" style="1" customWidth="1"/>
    <col min="9" max="9" width="21.33203125" style="1" customWidth="1"/>
    <col min="10" max="10" width="10.1640625" style="1" customWidth="1"/>
    <col min="11" max="12" width="8.6640625" style="1" customWidth="1"/>
    <col min="13" max="13" width="14.33203125" style="1" bestFit="1" customWidth="1"/>
    <col min="14" max="14" width="8.6640625" style="1" customWidth="1"/>
    <col min="15" max="15" width="27.33203125" style="1" customWidth="1"/>
    <col min="16" max="16" width="13.1640625" style="1" customWidth="1"/>
    <col min="17" max="18" width="9.1640625" style="41" customWidth="1"/>
    <col min="19" max="19" width="11.5" style="1" customWidth="1"/>
    <col min="20" max="20" width="21.33203125" style="1" customWidth="1"/>
    <col min="21" max="21" width="10.1640625" style="1" customWidth="1"/>
    <col min="22" max="23" width="8.6640625" style="1" customWidth="1"/>
    <col min="24" max="24" width="14.33203125" style="1" bestFit="1" customWidth="1"/>
    <col min="25" max="25" width="8.6640625" style="1" customWidth="1"/>
    <col min="26" max="26" width="27.6640625" style="1" bestFit="1" customWidth="1"/>
    <col min="27" max="27" width="41" style="1" bestFit="1" customWidth="1"/>
    <col min="28" max="28" width="14.5" style="1" bestFit="1" customWidth="1"/>
    <col min="29" max="16384" width="10.83203125" style="1"/>
  </cols>
  <sheetData>
    <row r="1" spans="1:28" s="91" customFormat="1" ht="20" customHeight="1" x14ac:dyDescent="0.2">
      <c r="A1" s="84"/>
      <c r="B1" s="85"/>
      <c r="C1" s="85"/>
      <c r="D1" s="86" t="s">
        <v>1</v>
      </c>
      <c r="E1" s="87"/>
      <c r="F1" s="87"/>
      <c r="G1" s="87"/>
      <c r="H1" s="87"/>
      <c r="I1" s="87"/>
      <c r="J1" s="87"/>
      <c r="K1" s="87"/>
      <c r="L1" s="87"/>
      <c r="M1" s="88"/>
      <c r="N1" s="88"/>
      <c r="O1" s="102" t="s">
        <v>2</v>
      </c>
      <c r="P1" s="103"/>
      <c r="Q1" s="103"/>
      <c r="R1" s="103"/>
      <c r="S1" s="103"/>
      <c r="T1" s="103"/>
      <c r="U1" s="104"/>
      <c r="V1" s="104"/>
      <c r="W1" s="104"/>
      <c r="X1" s="104"/>
      <c r="Y1" s="105"/>
      <c r="Z1" s="86" t="s">
        <v>3</v>
      </c>
      <c r="AA1" s="89"/>
      <c r="AB1" s="90"/>
    </row>
    <row r="2" spans="1:28" ht="18" customHeight="1" x14ac:dyDescent="0.2">
      <c r="A2" s="57" t="s">
        <v>199</v>
      </c>
      <c r="B2" s="78" t="s">
        <v>0</v>
      </c>
      <c r="C2" s="78"/>
      <c r="D2" s="53"/>
      <c r="E2" s="53"/>
      <c r="F2" s="70" t="s">
        <v>8</v>
      </c>
      <c r="G2" s="71"/>
      <c r="H2" s="51" t="s">
        <v>197</v>
      </c>
      <c r="I2" s="54"/>
      <c r="J2" s="51" t="s">
        <v>194</v>
      </c>
      <c r="K2" s="73" t="s">
        <v>196</v>
      </c>
      <c r="L2" s="69"/>
      <c r="M2" s="73" t="s">
        <v>214</v>
      </c>
      <c r="N2" s="69"/>
      <c r="O2" s="56"/>
      <c r="P2" s="55"/>
      <c r="Q2" s="72" t="s">
        <v>8</v>
      </c>
      <c r="R2" s="71"/>
      <c r="S2" s="52" t="s">
        <v>197</v>
      </c>
      <c r="T2" s="55"/>
      <c r="U2" s="52" t="s">
        <v>194</v>
      </c>
      <c r="V2" s="106" t="s">
        <v>196</v>
      </c>
      <c r="W2" s="69"/>
      <c r="X2" s="96" t="s">
        <v>214</v>
      </c>
      <c r="Y2" s="97"/>
      <c r="Z2" s="66"/>
      <c r="AA2" s="67"/>
      <c r="AB2" s="68"/>
    </row>
    <row r="3" spans="1:28" s="7" customFormat="1" ht="16" customHeight="1" thickBot="1" x14ac:dyDescent="0.25">
      <c r="A3" s="58" t="s">
        <v>200</v>
      </c>
      <c r="B3" s="2" t="s">
        <v>4</v>
      </c>
      <c r="C3" s="2" t="s">
        <v>5</v>
      </c>
      <c r="D3" s="3" t="s">
        <v>6</v>
      </c>
      <c r="E3" s="3" t="s">
        <v>7</v>
      </c>
      <c r="F3" s="59" t="s">
        <v>202</v>
      </c>
      <c r="G3" s="59" t="s">
        <v>203</v>
      </c>
      <c r="H3" s="4" t="s">
        <v>198</v>
      </c>
      <c r="I3" s="4" t="s">
        <v>9</v>
      </c>
      <c r="J3" s="62" t="s">
        <v>201</v>
      </c>
      <c r="K3" s="74" t="s">
        <v>202</v>
      </c>
      <c r="L3" s="59" t="s">
        <v>203</v>
      </c>
      <c r="M3" s="74" t="s">
        <v>212</v>
      </c>
      <c r="N3" s="59" t="s">
        <v>213</v>
      </c>
      <c r="O3" s="6" t="s">
        <v>6</v>
      </c>
      <c r="P3" s="2" t="s">
        <v>7</v>
      </c>
      <c r="Q3" s="60" t="s">
        <v>202</v>
      </c>
      <c r="R3" s="60" t="s">
        <v>203</v>
      </c>
      <c r="S3" s="61" t="s">
        <v>198</v>
      </c>
      <c r="T3" s="2" t="s">
        <v>9</v>
      </c>
      <c r="U3" s="63" t="s">
        <v>201</v>
      </c>
      <c r="V3" s="107" t="s">
        <v>202</v>
      </c>
      <c r="W3" s="60" t="s">
        <v>203</v>
      </c>
      <c r="X3" s="107" t="s">
        <v>212</v>
      </c>
      <c r="Y3" s="60" t="s">
        <v>213</v>
      </c>
      <c r="Z3" s="3" t="s">
        <v>10</v>
      </c>
      <c r="AA3" s="4" t="s">
        <v>11</v>
      </c>
      <c r="AB3" s="5" t="s">
        <v>12</v>
      </c>
    </row>
    <row r="4" spans="1:28" s="18" customFormat="1" x14ac:dyDescent="0.2">
      <c r="A4" s="8">
        <v>1</v>
      </c>
      <c r="B4" s="9" t="s">
        <v>13</v>
      </c>
      <c r="C4" s="10" t="s">
        <v>14</v>
      </c>
      <c r="D4" s="11" t="s">
        <v>15</v>
      </c>
      <c r="E4" s="79" t="s">
        <v>177</v>
      </c>
      <c r="F4" s="12">
        <v>1.6167494000000001E-2</v>
      </c>
      <c r="G4" s="12">
        <v>1.63779085E-2</v>
      </c>
      <c r="H4" s="13" t="s">
        <v>16</v>
      </c>
      <c r="I4" s="13"/>
      <c r="J4" s="13"/>
      <c r="K4" s="75">
        <v>23900.000002854093</v>
      </c>
      <c r="L4" s="46">
        <v>23450.000000961201</v>
      </c>
      <c r="M4" s="92">
        <v>1164842393.6787701</v>
      </c>
      <c r="N4" s="92">
        <v>15268.134847343201</v>
      </c>
      <c r="O4" s="15" t="s">
        <v>17</v>
      </c>
      <c r="P4" s="9" t="s">
        <v>18</v>
      </c>
      <c r="Q4" s="16">
        <v>26.404998110000001</v>
      </c>
      <c r="R4" s="16">
        <v>23.335801855489361</v>
      </c>
      <c r="S4" s="10" t="s">
        <v>16</v>
      </c>
      <c r="T4" s="10"/>
      <c r="U4" s="10"/>
      <c r="V4" s="108">
        <v>686.18000066462241</v>
      </c>
      <c r="W4" s="48">
        <v>530.86744673834585</v>
      </c>
      <c r="X4" s="98">
        <v>1066908499.57638</v>
      </c>
      <c r="Y4" s="98">
        <v>15089.589638895501</v>
      </c>
      <c r="Z4" s="17" t="s">
        <v>19</v>
      </c>
      <c r="AA4" s="13"/>
      <c r="AB4" s="14"/>
    </row>
    <row r="5" spans="1:28" s="18" customFormat="1" x14ac:dyDescent="0.2">
      <c r="A5" s="8">
        <v>2</v>
      </c>
      <c r="B5" s="19" t="s">
        <v>20</v>
      </c>
      <c r="C5" s="19" t="s">
        <v>21</v>
      </c>
      <c r="D5" s="11" t="s">
        <v>22</v>
      </c>
      <c r="E5" s="17" t="s">
        <v>23</v>
      </c>
      <c r="F5" s="12">
        <v>35.290930420000002</v>
      </c>
      <c r="G5" s="12">
        <v>34.311449393333334</v>
      </c>
      <c r="H5" s="13" t="s">
        <v>16</v>
      </c>
      <c r="I5" s="13"/>
      <c r="J5" s="13"/>
      <c r="K5" s="75">
        <v>4399.999995074254</v>
      </c>
      <c r="L5" s="46">
        <v>3369.2133313569648</v>
      </c>
      <c r="M5" s="92">
        <v>1178088651.8929999</v>
      </c>
      <c r="N5" s="92">
        <v>15815.4240793631</v>
      </c>
      <c r="O5" s="15" t="s">
        <v>24</v>
      </c>
      <c r="P5" s="10" t="s">
        <v>23</v>
      </c>
      <c r="Q5" s="16">
        <v>50.776643730000004</v>
      </c>
      <c r="R5" s="16">
        <v>45.471055723030297</v>
      </c>
      <c r="S5" s="10" t="s">
        <v>25</v>
      </c>
      <c r="T5" s="44" t="s">
        <v>26</v>
      </c>
      <c r="U5" s="10" t="s">
        <v>195</v>
      </c>
      <c r="V5" s="108">
        <v>843.41999957955977</v>
      </c>
      <c r="W5" s="48">
        <v>1443.5996853733311</v>
      </c>
      <c r="X5" s="98">
        <v>1257930553.62993</v>
      </c>
      <c r="Y5" s="98">
        <v>17877.371145958801</v>
      </c>
      <c r="Z5" s="17" t="s">
        <v>27</v>
      </c>
      <c r="AA5" s="13" t="s">
        <v>28</v>
      </c>
      <c r="AB5" s="14"/>
    </row>
    <row r="6" spans="1:28" s="18" customFormat="1" x14ac:dyDescent="0.2">
      <c r="A6" s="8">
        <v>3</v>
      </c>
      <c r="B6" s="9" t="s">
        <v>13</v>
      </c>
      <c r="C6" s="10" t="s">
        <v>14</v>
      </c>
      <c r="D6" s="11" t="s">
        <v>29</v>
      </c>
      <c r="E6" s="80" t="s">
        <v>18</v>
      </c>
      <c r="F6" s="12">
        <v>25.981309249999999</v>
      </c>
      <c r="G6" s="12">
        <v>26.276061689999999</v>
      </c>
      <c r="H6" s="13" t="s">
        <v>16</v>
      </c>
      <c r="I6" s="13"/>
      <c r="J6" s="13"/>
      <c r="K6" s="75">
        <v>5791.3699987051759</v>
      </c>
      <c r="L6" s="46">
        <v>5658.1849970808089</v>
      </c>
      <c r="M6" s="92">
        <v>1102342267.77581</v>
      </c>
      <c r="N6" s="92">
        <v>14958.5123244925</v>
      </c>
      <c r="O6" s="15" t="s">
        <v>30</v>
      </c>
      <c r="P6" s="10" t="s">
        <v>31</v>
      </c>
      <c r="Q6" s="16">
        <v>42.688038450000001</v>
      </c>
      <c r="R6" s="16">
        <v>37.437806672631581</v>
      </c>
      <c r="S6" s="10" t="s">
        <v>16</v>
      </c>
      <c r="T6" s="10"/>
      <c r="U6" s="10"/>
      <c r="V6" s="108">
        <v>870.08000018550581</v>
      </c>
      <c r="W6" s="48">
        <v>1031.208420763621</v>
      </c>
      <c r="X6" s="98">
        <v>967198391.66388094</v>
      </c>
      <c r="Y6" s="98">
        <v>15247.831343075901</v>
      </c>
      <c r="Z6" s="17" t="s">
        <v>27</v>
      </c>
      <c r="AA6" s="13" t="s">
        <v>32</v>
      </c>
      <c r="AB6" s="14" t="s">
        <v>33</v>
      </c>
    </row>
    <row r="7" spans="1:28" s="18" customFormat="1" x14ac:dyDescent="0.2">
      <c r="A7" s="8">
        <v>4</v>
      </c>
      <c r="B7" s="9" t="s">
        <v>13</v>
      </c>
      <c r="C7" s="19" t="s">
        <v>21</v>
      </c>
      <c r="D7" s="11" t="s">
        <v>34</v>
      </c>
      <c r="E7" s="80" t="s">
        <v>18</v>
      </c>
      <c r="F7" s="12">
        <v>23.217148829999999</v>
      </c>
      <c r="G7" s="12">
        <v>25.339278406521743</v>
      </c>
      <c r="H7" s="13" t="s">
        <v>16</v>
      </c>
      <c r="I7" s="13"/>
      <c r="J7" s="13"/>
      <c r="K7" s="75">
        <v>751.71999984899333</v>
      </c>
      <c r="L7" s="46">
        <v>438.57347829608267</v>
      </c>
      <c r="M7" s="92">
        <v>1018948750.4742399</v>
      </c>
      <c r="N7" s="92">
        <v>15870.6604852091</v>
      </c>
      <c r="O7" s="15" t="s">
        <v>35</v>
      </c>
      <c r="P7" s="10" t="s">
        <v>31</v>
      </c>
      <c r="Q7" s="16">
        <v>39.352444990000002</v>
      </c>
      <c r="R7" s="16">
        <v>25.448946405979992</v>
      </c>
      <c r="S7" s="19" t="s">
        <v>25</v>
      </c>
      <c r="T7" s="45" t="s">
        <v>36</v>
      </c>
      <c r="U7" s="10"/>
      <c r="V7" s="108">
        <v>94.779999920695829</v>
      </c>
      <c r="W7" s="48">
        <v>608.47142851187868</v>
      </c>
      <c r="X7" s="98">
        <v>900903251.90790999</v>
      </c>
      <c r="Y7" s="98">
        <v>14604.086645802499</v>
      </c>
      <c r="Z7" s="17" t="s">
        <v>27</v>
      </c>
      <c r="AA7" s="13" t="s">
        <v>32</v>
      </c>
      <c r="AB7" s="14" t="s">
        <v>33</v>
      </c>
    </row>
    <row r="8" spans="1:28" s="18" customFormat="1" x14ac:dyDescent="0.2">
      <c r="A8" s="8">
        <v>5</v>
      </c>
      <c r="B8" s="20" t="s">
        <v>37</v>
      </c>
      <c r="C8" s="10" t="s">
        <v>38</v>
      </c>
      <c r="D8" s="11" t="s">
        <v>39</v>
      </c>
      <c r="E8" s="17" t="s">
        <v>23</v>
      </c>
      <c r="F8" s="12">
        <v>34.005144559999998</v>
      </c>
      <c r="G8" s="12">
        <v>34.005144559999998</v>
      </c>
      <c r="H8" s="19" t="s">
        <v>25</v>
      </c>
      <c r="I8" s="43" t="s">
        <v>40</v>
      </c>
      <c r="J8" s="13" t="s">
        <v>195</v>
      </c>
      <c r="K8" s="75">
        <v>411.93000012650782</v>
      </c>
      <c r="L8" s="46">
        <v>411.93000012650782</v>
      </c>
      <c r="M8" s="92">
        <v>1197335880.4843199</v>
      </c>
      <c r="N8" s="92">
        <v>15893.765525811301</v>
      </c>
      <c r="O8" s="15" t="s">
        <v>41</v>
      </c>
      <c r="P8" s="10" t="s">
        <v>23</v>
      </c>
      <c r="Q8" s="16">
        <v>43.840206969999997</v>
      </c>
      <c r="R8" s="16">
        <v>37.041503642631575</v>
      </c>
      <c r="S8" s="19" t="s">
        <v>25</v>
      </c>
      <c r="T8" s="44" t="s">
        <v>26</v>
      </c>
      <c r="U8" s="10" t="s">
        <v>195</v>
      </c>
      <c r="V8" s="108">
        <v>730.96000016206062</v>
      </c>
      <c r="W8" s="48">
        <v>555.74166681365045</v>
      </c>
      <c r="X8" s="98">
        <v>1171360458.52423</v>
      </c>
      <c r="Y8" s="98">
        <v>14646.7522620322</v>
      </c>
      <c r="Z8" s="17" t="s">
        <v>183</v>
      </c>
      <c r="AA8" s="13" t="s">
        <v>42</v>
      </c>
      <c r="AB8" s="14" t="s">
        <v>43</v>
      </c>
    </row>
    <row r="9" spans="1:28" s="18" customFormat="1" x14ac:dyDescent="0.2">
      <c r="A9" s="8">
        <v>6</v>
      </c>
      <c r="B9" s="20" t="s">
        <v>37</v>
      </c>
      <c r="C9" s="10" t="s">
        <v>14</v>
      </c>
      <c r="D9" s="11" t="s">
        <v>44</v>
      </c>
      <c r="E9" s="17" t="s">
        <v>23</v>
      </c>
      <c r="F9" s="12">
        <v>10.352790089999999</v>
      </c>
      <c r="G9" s="12">
        <v>10.305216634941177</v>
      </c>
      <c r="H9" s="13" t="s">
        <v>16</v>
      </c>
      <c r="I9" s="13"/>
      <c r="J9" s="13"/>
      <c r="K9" s="75">
        <v>261.23999994663291</v>
      </c>
      <c r="L9" s="46">
        <v>263.22176469505297</v>
      </c>
      <c r="M9" s="92">
        <v>1190974462.6277201</v>
      </c>
      <c r="N9" s="92">
        <v>15242.1040201672</v>
      </c>
      <c r="O9" s="15" t="s">
        <v>178</v>
      </c>
      <c r="P9" s="10" t="s">
        <v>23</v>
      </c>
      <c r="Q9" s="16">
        <v>18.324749090000001</v>
      </c>
      <c r="R9" s="16">
        <v>17.214479605000001</v>
      </c>
      <c r="S9" s="10" t="s">
        <v>16</v>
      </c>
      <c r="T9" s="10"/>
      <c r="U9" s="10"/>
      <c r="V9" s="108">
        <v>964.99000031213927</v>
      </c>
      <c r="W9" s="48">
        <v>431.02500006134505</v>
      </c>
      <c r="X9" s="98">
        <v>1184047588.3066499</v>
      </c>
      <c r="Y9" s="98">
        <v>15737.4512358353</v>
      </c>
      <c r="Z9" s="17" t="s">
        <v>184</v>
      </c>
      <c r="AA9" s="13" t="s">
        <v>45</v>
      </c>
      <c r="AB9" s="14" t="s">
        <v>46</v>
      </c>
    </row>
    <row r="10" spans="1:28" s="18" customFormat="1" ht="17" x14ac:dyDescent="0.2">
      <c r="A10" s="8">
        <v>7</v>
      </c>
      <c r="B10" s="19" t="s">
        <v>20</v>
      </c>
      <c r="C10" s="19" t="s">
        <v>21</v>
      </c>
      <c r="D10" s="11" t="s">
        <v>47</v>
      </c>
      <c r="E10" s="17" t="s">
        <v>23</v>
      </c>
      <c r="F10" s="12">
        <v>37.460306330000002</v>
      </c>
      <c r="G10" s="12">
        <v>37.561115860000001</v>
      </c>
      <c r="H10" s="13" t="s">
        <v>16</v>
      </c>
      <c r="I10" s="13"/>
      <c r="J10" s="13"/>
      <c r="K10" s="75">
        <v>712.10000037745499</v>
      </c>
      <c r="L10" s="46">
        <v>977.20333327166134</v>
      </c>
      <c r="M10" s="92">
        <v>1111532059.57686</v>
      </c>
      <c r="N10" s="92">
        <v>15523.295099494901</v>
      </c>
      <c r="O10" s="15" t="s">
        <v>211</v>
      </c>
      <c r="P10" s="10" t="s">
        <v>23</v>
      </c>
      <c r="Q10" s="16">
        <v>43.322805600000002</v>
      </c>
      <c r="R10" s="16">
        <v>42.345058653333332</v>
      </c>
      <c r="S10" s="19" t="s">
        <v>25</v>
      </c>
      <c r="T10" s="44" t="s">
        <v>26</v>
      </c>
      <c r="U10" s="10"/>
      <c r="V10" s="108">
        <v>1501.3300004120258</v>
      </c>
      <c r="W10" s="48">
        <v>4130.6249976256295</v>
      </c>
      <c r="X10" s="98">
        <v>1112078069.5850301</v>
      </c>
      <c r="Y10" s="98">
        <v>14761.8464962899</v>
      </c>
      <c r="Z10" s="17" t="s">
        <v>184</v>
      </c>
      <c r="AA10" s="13" t="s">
        <v>48</v>
      </c>
      <c r="AB10" s="14" t="s">
        <v>49</v>
      </c>
    </row>
    <row r="11" spans="1:28" s="18" customFormat="1" x14ac:dyDescent="0.2">
      <c r="A11" s="110">
        <v>8</v>
      </c>
      <c r="B11" s="111" t="s">
        <v>13</v>
      </c>
      <c r="C11" s="112" t="s">
        <v>14</v>
      </c>
      <c r="D11" s="113" t="s">
        <v>50</v>
      </c>
      <c r="E11" s="114" t="s">
        <v>18</v>
      </c>
      <c r="F11" s="115">
        <v>6.475186807</v>
      </c>
      <c r="G11" s="115">
        <v>23.221053297499999</v>
      </c>
      <c r="H11" s="116" t="s">
        <v>16</v>
      </c>
      <c r="I11" s="116"/>
      <c r="J11" s="116"/>
      <c r="K11" s="117">
        <v>376.000000062629</v>
      </c>
      <c r="L11" s="118">
        <v>237.86636364842596</v>
      </c>
      <c r="M11" s="119">
        <v>1234179044.8703799</v>
      </c>
      <c r="N11" s="119">
        <v>15991.547029368099</v>
      </c>
      <c r="O11" s="120" t="s">
        <v>51</v>
      </c>
      <c r="P11" s="112" t="s">
        <v>23</v>
      </c>
      <c r="Q11" s="121">
        <v>19.318631419999999</v>
      </c>
      <c r="R11" s="121">
        <v>10.928604820454545</v>
      </c>
      <c r="S11" s="112" t="s">
        <v>16</v>
      </c>
      <c r="T11" s="112" t="s">
        <v>52</v>
      </c>
      <c r="U11" s="112"/>
      <c r="V11" s="122">
        <v>82.040000057364779</v>
      </c>
      <c r="W11" s="123">
        <v>120.3450000567523</v>
      </c>
      <c r="X11" s="124">
        <v>1072941785.17237</v>
      </c>
      <c r="Y11" s="124">
        <v>15079.664261615</v>
      </c>
      <c r="Z11" s="125" t="s">
        <v>184</v>
      </c>
      <c r="AA11" s="116" t="s">
        <v>53</v>
      </c>
      <c r="AB11" s="126" t="s">
        <v>54</v>
      </c>
    </row>
    <row r="12" spans="1:28" s="18" customFormat="1" x14ac:dyDescent="0.2">
      <c r="A12" s="8" t="s">
        <v>217</v>
      </c>
      <c r="B12" s="127" t="s">
        <v>20</v>
      </c>
      <c r="C12" s="127" t="s">
        <v>21</v>
      </c>
      <c r="D12" s="11" t="s">
        <v>55</v>
      </c>
      <c r="E12" s="17" t="s">
        <v>23</v>
      </c>
      <c r="F12" s="128">
        <v>13.402205110000001</v>
      </c>
      <c r="G12" s="128">
        <v>19.369522499428573</v>
      </c>
      <c r="H12" s="129" t="s">
        <v>16</v>
      </c>
      <c r="I12" s="129"/>
      <c r="J12" s="129"/>
      <c r="K12" s="75">
        <v>65.800000058489644</v>
      </c>
      <c r="L12" s="46">
        <v>94.299428562035501</v>
      </c>
      <c r="M12" s="92">
        <v>1129445982.87411</v>
      </c>
      <c r="N12" s="92">
        <v>14258.728059041399</v>
      </c>
      <c r="O12" s="15" t="s">
        <v>56</v>
      </c>
      <c r="P12" s="130" t="s">
        <v>23</v>
      </c>
      <c r="Q12" s="131">
        <v>49.201626640000001</v>
      </c>
      <c r="R12" s="131">
        <v>36.479997328103451</v>
      </c>
      <c r="S12" s="127" t="s">
        <v>25</v>
      </c>
      <c r="T12" s="132" t="s">
        <v>57</v>
      </c>
      <c r="U12" s="130"/>
      <c r="V12" s="108">
        <v>111.35999993166865</v>
      </c>
      <c r="W12" s="48">
        <v>75.886153851766878</v>
      </c>
      <c r="X12" s="98">
        <v>1150976505.9448299</v>
      </c>
      <c r="Y12" s="98">
        <v>14981.042495559501</v>
      </c>
      <c r="Z12" s="17" t="s">
        <v>184</v>
      </c>
      <c r="AA12" s="129" t="s">
        <v>53</v>
      </c>
      <c r="AB12" s="14" t="s">
        <v>54</v>
      </c>
    </row>
    <row r="13" spans="1:28" s="18" customFormat="1" x14ac:dyDescent="0.2">
      <c r="A13" s="8">
        <v>10</v>
      </c>
      <c r="B13" s="133" t="s">
        <v>13</v>
      </c>
      <c r="C13" s="127" t="s">
        <v>21</v>
      </c>
      <c r="D13" s="11" t="s">
        <v>58</v>
      </c>
      <c r="E13" s="81" t="s">
        <v>176</v>
      </c>
      <c r="F13" s="128">
        <v>9.1076696170000009</v>
      </c>
      <c r="G13" s="128">
        <v>9.9822511089999999</v>
      </c>
      <c r="H13" s="129" t="s">
        <v>16</v>
      </c>
      <c r="I13" s="129"/>
      <c r="J13" s="129"/>
      <c r="K13" s="75">
        <v>147.9999998654055</v>
      </c>
      <c r="L13" s="46">
        <v>132.97999994995396</v>
      </c>
      <c r="M13" s="92">
        <v>1117618984.0558</v>
      </c>
      <c r="N13" s="92">
        <v>15693.788006369299</v>
      </c>
      <c r="O13" s="15" t="s">
        <v>59</v>
      </c>
      <c r="P13" s="130" t="s">
        <v>23</v>
      </c>
      <c r="Q13" s="131">
        <v>54.206644400000002</v>
      </c>
      <c r="R13" s="131">
        <v>54.434054588750001</v>
      </c>
      <c r="S13" s="127" t="s">
        <v>25</v>
      </c>
      <c r="T13" s="134" t="s">
        <v>60</v>
      </c>
      <c r="U13" s="130"/>
      <c r="V13" s="108">
        <v>337.99999978390878</v>
      </c>
      <c r="W13" s="48">
        <v>248.22625000977195</v>
      </c>
      <c r="X13" s="98">
        <v>1095795780.9753101</v>
      </c>
      <c r="Y13" s="98">
        <v>14979.455925365201</v>
      </c>
      <c r="Z13" s="17" t="s">
        <v>185</v>
      </c>
      <c r="AA13" s="129"/>
      <c r="AB13" s="14"/>
    </row>
    <row r="14" spans="1:28" s="18" customFormat="1" x14ac:dyDescent="0.2">
      <c r="A14" s="8">
        <v>11</v>
      </c>
      <c r="B14" s="127" t="s">
        <v>20</v>
      </c>
      <c r="C14" s="127" t="s">
        <v>21</v>
      </c>
      <c r="D14" s="11" t="s">
        <v>61</v>
      </c>
      <c r="E14" s="17" t="s">
        <v>23</v>
      </c>
      <c r="F14" s="128">
        <v>44.180791370000001</v>
      </c>
      <c r="G14" s="128">
        <v>37.017598020800008</v>
      </c>
      <c r="H14" s="129" t="s">
        <v>16</v>
      </c>
      <c r="I14" s="129"/>
      <c r="J14" s="129"/>
      <c r="K14" s="75">
        <v>354.20000011902846</v>
      </c>
      <c r="L14" s="46">
        <v>272.0843999604694</v>
      </c>
      <c r="M14" s="92">
        <v>1103041213.5639801</v>
      </c>
      <c r="N14" s="92">
        <v>15051.836823059</v>
      </c>
      <c r="O14" s="15" t="s">
        <v>62</v>
      </c>
      <c r="P14" s="130" t="s">
        <v>23</v>
      </c>
      <c r="Q14" s="131">
        <v>36.234793099999997</v>
      </c>
      <c r="R14" s="131">
        <v>35.804541989999997</v>
      </c>
      <c r="S14" s="127" t="s">
        <v>25</v>
      </c>
      <c r="T14" s="134" t="s">
        <v>60</v>
      </c>
      <c r="U14" s="130"/>
      <c r="V14" s="108">
        <v>366.30000028293529</v>
      </c>
      <c r="W14" s="48">
        <v>263.54647055334738</v>
      </c>
      <c r="X14" s="98">
        <v>1069600346.19291</v>
      </c>
      <c r="Y14" s="98">
        <v>14529.21351955</v>
      </c>
      <c r="Z14" s="17" t="s">
        <v>185</v>
      </c>
      <c r="AA14" s="129" t="s">
        <v>63</v>
      </c>
      <c r="AB14" s="14" t="s">
        <v>64</v>
      </c>
    </row>
    <row r="15" spans="1:28" s="18" customFormat="1" x14ac:dyDescent="0.2">
      <c r="A15" s="8">
        <v>12</v>
      </c>
      <c r="B15" s="133" t="s">
        <v>13</v>
      </c>
      <c r="C15" s="130" t="s">
        <v>14</v>
      </c>
      <c r="D15" s="11" t="s">
        <v>65</v>
      </c>
      <c r="E15" s="80" t="s">
        <v>18</v>
      </c>
      <c r="F15" s="128">
        <v>9.6244142789999998</v>
      </c>
      <c r="G15" s="128">
        <v>8.1345912139999985</v>
      </c>
      <c r="H15" s="129" t="s">
        <v>16</v>
      </c>
      <c r="I15" s="129"/>
      <c r="J15" s="129"/>
      <c r="K15" s="75">
        <v>1026.0000005296681</v>
      </c>
      <c r="L15" s="46">
        <v>1137.5266674524003</v>
      </c>
      <c r="M15" s="92">
        <v>1174938589.4771399</v>
      </c>
      <c r="N15" s="92">
        <v>15769.094351969399</v>
      </c>
      <c r="O15" s="15" t="s">
        <v>66</v>
      </c>
      <c r="P15" s="130" t="s">
        <v>23</v>
      </c>
      <c r="Q15" s="131">
        <v>37.97820359</v>
      </c>
      <c r="R15" s="131">
        <v>39.261993049375</v>
      </c>
      <c r="S15" s="130" t="s">
        <v>16</v>
      </c>
      <c r="T15" s="135"/>
      <c r="U15" s="130"/>
      <c r="V15" s="108">
        <v>3771.9900026072137</v>
      </c>
      <c r="W15" s="48">
        <v>5025.759376840283</v>
      </c>
      <c r="X15" s="98">
        <v>1154809394.9895501</v>
      </c>
      <c r="Y15" s="98">
        <v>15239.8769227417</v>
      </c>
      <c r="Z15" s="17" t="s">
        <v>186</v>
      </c>
      <c r="AA15" s="129" t="s">
        <v>67</v>
      </c>
      <c r="AB15" s="14"/>
    </row>
    <row r="16" spans="1:28" s="18" customFormat="1" x14ac:dyDescent="0.2">
      <c r="A16" s="8" t="s">
        <v>218</v>
      </c>
      <c r="B16" s="133" t="s">
        <v>13</v>
      </c>
      <c r="C16" s="130" t="s">
        <v>14</v>
      </c>
      <c r="D16" s="11" t="s">
        <v>179</v>
      </c>
      <c r="E16" s="79" t="s">
        <v>177</v>
      </c>
      <c r="F16" s="128">
        <v>0.18463009899999999</v>
      </c>
      <c r="G16" s="128">
        <v>22.158963342228347</v>
      </c>
      <c r="H16" s="136" t="s">
        <v>16</v>
      </c>
      <c r="I16" s="136"/>
      <c r="J16" s="129"/>
      <c r="K16" s="76">
        <v>39.26999997554811</v>
      </c>
      <c r="L16" s="47">
        <v>315.01868849786854</v>
      </c>
      <c r="M16" s="93">
        <v>1220854836.1730599</v>
      </c>
      <c r="N16" s="93">
        <v>16353.785226848</v>
      </c>
      <c r="O16" s="15" t="s">
        <v>68</v>
      </c>
      <c r="P16" s="137" t="s">
        <v>23</v>
      </c>
      <c r="Q16" s="131">
        <v>36.247463029999999</v>
      </c>
      <c r="R16" s="131">
        <v>21.525801973333333</v>
      </c>
      <c r="S16" s="137" t="s">
        <v>16</v>
      </c>
      <c r="T16" s="137"/>
      <c r="U16" s="130" t="s">
        <v>195</v>
      </c>
      <c r="V16" s="108">
        <v>131.99999993743378</v>
      </c>
      <c r="W16" s="48">
        <v>129.05166660850594</v>
      </c>
      <c r="X16" s="99">
        <v>1108060246.9022</v>
      </c>
      <c r="Y16" s="99">
        <v>15506.160908038</v>
      </c>
      <c r="Z16" s="17" t="s">
        <v>186</v>
      </c>
      <c r="AA16" s="129" t="s">
        <v>67</v>
      </c>
      <c r="AB16" s="14"/>
    </row>
    <row r="17" spans="1:28" s="18" customFormat="1" x14ac:dyDescent="0.2">
      <c r="A17" s="138">
        <v>14</v>
      </c>
      <c r="B17" s="139" t="s">
        <v>37</v>
      </c>
      <c r="C17" s="140" t="s">
        <v>38</v>
      </c>
      <c r="D17" s="141" t="s">
        <v>69</v>
      </c>
      <c r="E17" s="142" t="s">
        <v>23</v>
      </c>
      <c r="F17" s="143">
        <v>52.619160190000002</v>
      </c>
      <c r="G17" s="143">
        <v>52.523437236363634</v>
      </c>
      <c r="H17" s="144" t="s">
        <v>25</v>
      </c>
      <c r="I17" s="145" t="s">
        <v>40</v>
      </c>
      <c r="J17" s="146"/>
      <c r="K17" s="147">
        <v>96.440000065415703</v>
      </c>
      <c r="L17" s="148">
        <v>64.624545473384259</v>
      </c>
      <c r="M17" s="149">
        <v>1215932822.8123901</v>
      </c>
      <c r="N17" s="149">
        <v>14598.5777923478</v>
      </c>
      <c r="O17" s="150" t="s">
        <v>180</v>
      </c>
      <c r="P17" s="151" t="s">
        <v>23</v>
      </c>
      <c r="Q17" s="152">
        <v>54.985272709999997</v>
      </c>
      <c r="R17" s="152">
        <v>51.981876338695649</v>
      </c>
      <c r="S17" s="144" t="s">
        <v>25</v>
      </c>
      <c r="T17" s="153" t="s">
        <v>70</v>
      </c>
      <c r="U17" s="140"/>
      <c r="V17" s="154">
        <v>42.299999963471144</v>
      </c>
      <c r="W17" s="155">
        <v>60.025909089823386</v>
      </c>
      <c r="X17" s="156">
        <v>1236848961.0297301</v>
      </c>
      <c r="Y17" s="156">
        <v>16007.1544764501</v>
      </c>
      <c r="Z17" s="157" t="s">
        <v>186</v>
      </c>
      <c r="AA17" s="146" t="s">
        <v>71</v>
      </c>
      <c r="AB17" s="158" t="s">
        <v>72</v>
      </c>
    </row>
    <row r="18" spans="1:28" s="18" customFormat="1" ht="17" x14ac:dyDescent="0.2">
      <c r="A18" s="8">
        <v>15</v>
      </c>
      <c r="B18" s="9" t="s">
        <v>13</v>
      </c>
      <c r="C18" s="19" t="s">
        <v>21</v>
      </c>
      <c r="D18" s="11" t="s">
        <v>210</v>
      </c>
      <c r="E18" s="79" t="s">
        <v>177</v>
      </c>
      <c r="F18" s="12">
        <v>53.84</v>
      </c>
      <c r="G18" s="12">
        <v>53.84</v>
      </c>
      <c r="H18" s="13" t="s">
        <v>73</v>
      </c>
      <c r="I18" s="22"/>
      <c r="J18" s="13" t="s">
        <v>195</v>
      </c>
      <c r="K18" s="75">
        <v>4750</v>
      </c>
      <c r="L18" s="46">
        <v>4750</v>
      </c>
      <c r="M18" s="94">
        <v>26111648.131550301</v>
      </c>
      <c r="N18" s="94">
        <v>15646.594324923401</v>
      </c>
      <c r="O18" s="23" t="s">
        <v>74</v>
      </c>
      <c r="P18" s="24" t="s">
        <v>23</v>
      </c>
      <c r="Q18" s="16">
        <v>56.798641920000001</v>
      </c>
      <c r="R18" s="16">
        <v>56.798641920000001</v>
      </c>
      <c r="S18" s="19" t="s">
        <v>25</v>
      </c>
      <c r="T18" s="44" t="s">
        <v>75</v>
      </c>
      <c r="U18" s="10" t="s">
        <v>195</v>
      </c>
      <c r="V18" s="108">
        <v>725.99000059972718</v>
      </c>
      <c r="W18" s="48">
        <v>725.99000059972718</v>
      </c>
      <c r="X18" s="100">
        <v>1175339792.1315501</v>
      </c>
      <c r="Y18" s="100">
        <v>16095.594324923401</v>
      </c>
      <c r="Z18" s="17" t="s">
        <v>186</v>
      </c>
      <c r="AA18" s="13" t="s">
        <v>71</v>
      </c>
      <c r="AB18" s="14" t="s">
        <v>76</v>
      </c>
    </row>
    <row r="19" spans="1:28" s="18" customFormat="1" x14ac:dyDescent="0.2">
      <c r="A19" s="8" t="s">
        <v>219</v>
      </c>
      <c r="B19" s="9" t="s">
        <v>13</v>
      </c>
      <c r="C19" s="19" t="s">
        <v>21</v>
      </c>
      <c r="D19" s="11" t="s">
        <v>77</v>
      </c>
      <c r="E19" s="81" t="s">
        <v>176</v>
      </c>
      <c r="F19" s="12">
        <v>14.028704919999999</v>
      </c>
      <c r="G19" s="12">
        <v>15.002463344999999</v>
      </c>
      <c r="H19" s="13" t="s">
        <v>16</v>
      </c>
      <c r="I19" s="13"/>
      <c r="J19" s="13"/>
      <c r="K19" s="75">
        <v>859.98999944876982</v>
      </c>
      <c r="L19" s="46">
        <v>534.99499978871575</v>
      </c>
      <c r="M19" s="92">
        <v>1117650131.0004699</v>
      </c>
      <c r="N19" s="92">
        <v>15224.6011116681</v>
      </c>
      <c r="O19" s="15" t="s">
        <v>78</v>
      </c>
      <c r="P19" s="10" t="s">
        <v>23</v>
      </c>
      <c r="Q19" s="16">
        <v>70.379278099999993</v>
      </c>
      <c r="R19" s="16">
        <v>69.231126376666666</v>
      </c>
      <c r="S19" s="19" t="s">
        <v>25</v>
      </c>
      <c r="T19" s="44" t="s">
        <v>79</v>
      </c>
      <c r="U19" s="10"/>
      <c r="V19" s="108">
        <v>328.03999983065182</v>
      </c>
      <c r="W19" s="48">
        <v>583.30000027521669</v>
      </c>
      <c r="X19" s="98">
        <v>1183155367.63938</v>
      </c>
      <c r="Y19" s="98">
        <v>15268.4300809134</v>
      </c>
      <c r="Z19" s="17" t="s">
        <v>187</v>
      </c>
      <c r="AA19" s="13"/>
      <c r="AB19" s="14"/>
    </row>
    <row r="20" spans="1:28" s="18" customFormat="1" x14ac:dyDescent="0.2">
      <c r="A20" s="8" t="s">
        <v>220</v>
      </c>
      <c r="B20" s="9" t="s">
        <v>13</v>
      </c>
      <c r="C20" s="19" t="s">
        <v>21</v>
      </c>
      <c r="D20" s="11" t="s">
        <v>80</v>
      </c>
      <c r="E20" s="79" t="s">
        <v>177</v>
      </c>
      <c r="F20" s="12">
        <v>3.6908680660000002</v>
      </c>
      <c r="G20" s="12">
        <v>5.1945959309473695</v>
      </c>
      <c r="H20" s="13" t="s">
        <v>73</v>
      </c>
      <c r="I20" s="13"/>
      <c r="J20" s="13" t="s">
        <v>195</v>
      </c>
      <c r="K20" s="75">
        <v>33569.329970345309</v>
      </c>
      <c r="L20" s="46">
        <v>5911.1049980285643</v>
      </c>
      <c r="M20" s="92">
        <v>1246104098.11099</v>
      </c>
      <c r="N20" s="92">
        <v>14559.664790336101</v>
      </c>
      <c r="O20" s="15" t="s">
        <v>81</v>
      </c>
      <c r="P20" s="10" t="s">
        <v>23</v>
      </c>
      <c r="Q20" s="16">
        <v>47.71218494</v>
      </c>
      <c r="R20" s="16">
        <v>58.581831847443631</v>
      </c>
      <c r="S20" s="19" t="s">
        <v>25</v>
      </c>
      <c r="T20" s="44" t="s">
        <v>82</v>
      </c>
      <c r="U20" s="10" t="s">
        <v>195</v>
      </c>
      <c r="V20" s="108">
        <v>152.05999994722319</v>
      </c>
      <c r="W20" s="48">
        <v>1036.625468597744</v>
      </c>
      <c r="X20" s="98">
        <v>1228911136.8915601</v>
      </c>
      <c r="Y20" s="98">
        <v>16931.649180421198</v>
      </c>
      <c r="Z20" s="17" t="s">
        <v>188</v>
      </c>
      <c r="AA20" s="13"/>
      <c r="AB20" s="14"/>
    </row>
    <row r="21" spans="1:28" s="18" customFormat="1" x14ac:dyDescent="0.2">
      <c r="A21" s="8" t="s">
        <v>221</v>
      </c>
      <c r="B21" s="9" t="s">
        <v>13</v>
      </c>
      <c r="C21" s="19" t="s">
        <v>21</v>
      </c>
      <c r="D21" s="11" t="s">
        <v>181</v>
      </c>
      <c r="E21" s="79" t="s">
        <v>177</v>
      </c>
      <c r="F21" s="12">
        <v>22.977195420000001</v>
      </c>
      <c r="G21" s="12">
        <v>34.048912552941182</v>
      </c>
      <c r="H21" s="22" t="s">
        <v>16</v>
      </c>
      <c r="I21" s="22"/>
      <c r="J21" s="13" t="s">
        <v>195</v>
      </c>
      <c r="K21" s="76">
        <v>3016.6199995422653</v>
      </c>
      <c r="L21" s="47">
        <v>2050.4300004835709</v>
      </c>
      <c r="M21" s="93">
        <v>1192134113.12672</v>
      </c>
      <c r="N21" s="93">
        <v>16170.983685412901</v>
      </c>
      <c r="O21" s="23" t="s">
        <v>83</v>
      </c>
      <c r="P21" s="24" t="s">
        <v>23</v>
      </c>
      <c r="Q21" s="16">
        <v>38.683468650000002</v>
      </c>
      <c r="R21" s="16">
        <v>36.837256303999993</v>
      </c>
      <c r="S21" s="19" t="s">
        <v>25</v>
      </c>
      <c r="T21" s="44" t="s">
        <v>26</v>
      </c>
      <c r="U21" s="10" t="s">
        <v>195</v>
      </c>
      <c r="V21" s="108">
        <v>2528.9700026749633</v>
      </c>
      <c r="W21" s="48">
        <v>1701.7278577689453</v>
      </c>
      <c r="X21" s="99">
        <v>1171072281.4948001</v>
      </c>
      <c r="Y21" s="99">
        <v>14442.322374466699</v>
      </c>
      <c r="Z21" s="17" t="s">
        <v>189</v>
      </c>
      <c r="AA21" s="13" t="s">
        <v>84</v>
      </c>
      <c r="AB21" s="14" t="s">
        <v>85</v>
      </c>
    </row>
    <row r="22" spans="1:28" s="18" customFormat="1" x14ac:dyDescent="0.2">
      <c r="A22" s="8">
        <v>19</v>
      </c>
      <c r="B22" s="19" t="s">
        <v>20</v>
      </c>
      <c r="C22" s="19" t="s">
        <v>21</v>
      </c>
      <c r="D22" s="11" t="s">
        <v>86</v>
      </c>
      <c r="E22" s="17" t="s">
        <v>23</v>
      </c>
      <c r="F22" s="12">
        <v>24.94867571</v>
      </c>
      <c r="G22" s="12">
        <v>34.601887872500001</v>
      </c>
      <c r="H22" s="13" t="s">
        <v>16</v>
      </c>
      <c r="I22" s="13"/>
      <c r="J22" s="13"/>
      <c r="K22" s="75">
        <v>756.00000086827697</v>
      </c>
      <c r="L22" s="46">
        <v>1179.3425000782379</v>
      </c>
      <c r="M22" s="92">
        <v>1206704702.2111299</v>
      </c>
      <c r="N22" s="92">
        <v>16103.066567985001</v>
      </c>
      <c r="O22" s="15" t="s">
        <v>87</v>
      </c>
      <c r="P22" s="10" t="s">
        <v>23</v>
      </c>
      <c r="Q22" s="16">
        <v>36.214709560000003</v>
      </c>
      <c r="R22" s="16">
        <v>35.445883941999995</v>
      </c>
      <c r="S22" s="19" t="s">
        <v>88</v>
      </c>
      <c r="T22" s="44" t="s">
        <v>89</v>
      </c>
      <c r="U22" s="10"/>
      <c r="V22" s="108">
        <v>1900.0000002063712</v>
      </c>
      <c r="W22" s="48">
        <v>1396.2252001106829</v>
      </c>
      <c r="X22" s="98">
        <v>1245255772.0404699</v>
      </c>
      <c r="Y22" s="98">
        <v>14519.970453236199</v>
      </c>
      <c r="Z22" s="17" t="s">
        <v>189</v>
      </c>
      <c r="AA22" s="13" t="s">
        <v>90</v>
      </c>
      <c r="AB22" s="14" t="s">
        <v>91</v>
      </c>
    </row>
    <row r="23" spans="1:28" s="18" customFormat="1" x14ac:dyDescent="0.2">
      <c r="A23" s="8">
        <v>20</v>
      </c>
      <c r="B23" s="19" t="s">
        <v>20</v>
      </c>
      <c r="C23" s="19" t="s">
        <v>21</v>
      </c>
      <c r="D23" s="11" t="s">
        <v>92</v>
      </c>
      <c r="E23" s="82" t="s">
        <v>23</v>
      </c>
      <c r="F23" s="12">
        <v>36.07840977</v>
      </c>
      <c r="G23" s="12">
        <v>36.07840977</v>
      </c>
      <c r="H23" s="22" t="s">
        <v>16</v>
      </c>
      <c r="I23" s="22"/>
      <c r="J23" s="13"/>
      <c r="K23" s="75">
        <v>472.00000039768133</v>
      </c>
      <c r="L23" s="46">
        <v>472.00000039768133</v>
      </c>
      <c r="M23" s="92">
        <v>1150644276.7462399</v>
      </c>
      <c r="N23" s="92">
        <v>15051.435374283999</v>
      </c>
      <c r="O23" s="23" t="s">
        <v>93</v>
      </c>
      <c r="P23" s="24" t="s">
        <v>23</v>
      </c>
      <c r="Q23" s="16">
        <v>43.28592922</v>
      </c>
      <c r="R23" s="16">
        <v>44.832231247500005</v>
      </c>
      <c r="S23" s="19" t="s">
        <v>25</v>
      </c>
      <c r="T23" s="44" t="s">
        <v>40</v>
      </c>
      <c r="U23" s="10" t="s">
        <v>195</v>
      </c>
      <c r="V23" s="108">
        <v>9512.0900050500404</v>
      </c>
      <c r="W23" s="48">
        <v>5904.2712504522642</v>
      </c>
      <c r="X23" s="98">
        <v>1185649867.7650199</v>
      </c>
      <c r="Y23" s="98">
        <v>15141.3494668729</v>
      </c>
      <c r="Z23" s="17" t="s">
        <v>189</v>
      </c>
      <c r="AA23" s="13" t="s">
        <v>90</v>
      </c>
      <c r="AB23" s="14"/>
    </row>
    <row r="24" spans="1:28" s="18" customFormat="1" x14ac:dyDescent="0.2">
      <c r="A24" s="8">
        <v>21</v>
      </c>
      <c r="B24" s="19" t="s">
        <v>20</v>
      </c>
      <c r="C24" s="19" t="s">
        <v>21</v>
      </c>
      <c r="D24" s="11" t="s">
        <v>94</v>
      </c>
      <c r="E24" s="82" t="s">
        <v>23</v>
      </c>
      <c r="F24" s="12">
        <v>28.257246890000001</v>
      </c>
      <c r="G24" s="12">
        <v>28.257246890000001</v>
      </c>
      <c r="H24" s="22" t="s">
        <v>16</v>
      </c>
      <c r="I24" s="22"/>
      <c r="J24" s="13"/>
      <c r="K24" s="75">
        <v>643.21000032770746</v>
      </c>
      <c r="L24" s="46">
        <v>643.21000032770746</v>
      </c>
      <c r="M24" s="92">
        <v>1168969818.60271</v>
      </c>
      <c r="N24" s="92">
        <v>15326.5723219425</v>
      </c>
      <c r="O24" s="23" t="s">
        <v>95</v>
      </c>
      <c r="P24" s="24" t="s">
        <v>23</v>
      </c>
      <c r="Q24" s="16">
        <v>33.096865719999997</v>
      </c>
      <c r="R24" s="16">
        <v>31.781411712295093</v>
      </c>
      <c r="S24" s="19" t="s">
        <v>25</v>
      </c>
      <c r="T24" s="44" t="s">
        <v>26</v>
      </c>
      <c r="U24" s="10"/>
      <c r="V24" s="108">
        <v>311.99999998675048</v>
      </c>
      <c r="W24" s="48">
        <v>677.65142841758222</v>
      </c>
      <c r="X24" s="98">
        <v>1203160495.6277101</v>
      </c>
      <c r="Y24" s="98">
        <v>14323.2915692312</v>
      </c>
      <c r="Z24" s="17" t="s">
        <v>189</v>
      </c>
      <c r="AA24" s="13" t="s">
        <v>90</v>
      </c>
      <c r="AB24" s="14" t="s">
        <v>96</v>
      </c>
    </row>
    <row r="25" spans="1:28" s="18" customFormat="1" x14ac:dyDescent="0.2">
      <c r="A25" s="110">
        <v>22</v>
      </c>
      <c r="B25" s="159" t="s">
        <v>37</v>
      </c>
      <c r="C25" s="112" t="s">
        <v>38</v>
      </c>
      <c r="D25" s="113" t="s">
        <v>97</v>
      </c>
      <c r="E25" s="125" t="s">
        <v>23</v>
      </c>
      <c r="F25" s="115">
        <v>55.12618294</v>
      </c>
      <c r="G25" s="115">
        <v>44.006421072666669</v>
      </c>
      <c r="H25" s="160" t="s">
        <v>25</v>
      </c>
      <c r="I25" s="161" t="s">
        <v>26</v>
      </c>
      <c r="J25" s="116"/>
      <c r="K25" s="117">
        <v>48.419999988213831</v>
      </c>
      <c r="L25" s="118">
        <v>53.263999983194687</v>
      </c>
      <c r="M25" s="119">
        <v>1173242260.8866701</v>
      </c>
      <c r="N25" s="119">
        <v>15729.4413218752</v>
      </c>
      <c r="O25" s="120" t="s">
        <v>98</v>
      </c>
      <c r="P25" s="112" t="s">
        <v>23</v>
      </c>
      <c r="Q25" s="121">
        <v>51.509602039999997</v>
      </c>
      <c r="R25" s="121">
        <v>54.179899413999998</v>
      </c>
      <c r="S25" s="160" t="s">
        <v>25</v>
      </c>
      <c r="T25" s="162" t="s">
        <v>99</v>
      </c>
      <c r="U25" s="112"/>
      <c r="V25" s="122">
        <v>109.00000001490235</v>
      </c>
      <c r="W25" s="123">
        <v>56.955333329275163</v>
      </c>
      <c r="X25" s="124">
        <v>1161894612.3958299</v>
      </c>
      <c r="Y25" s="124">
        <v>15269.1620783611</v>
      </c>
      <c r="Z25" s="125" t="s">
        <v>190</v>
      </c>
      <c r="AA25" s="116" t="s">
        <v>100</v>
      </c>
      <c r="AB25" s="126" t="s">
        <v>101</v>
      </c>
    </row>
    <row r="26" spans="1:28" s="18" customFormat="1" x14ac:dyDescent="0.2">
      <c r="A26" s="8" t="s">
        <v>222</v>
      </c>
      <c r="B26" s="127" t="s">
        <v>20</v>
      </c>
      <c r="C26" s="127" t="s">
        <v>21</v>
      </c>
      <c r="D26" s="11" t="s">
        <v>102</v>
      </c>
      <c r="E26" s="17" t="s">
        <v>23</v>
      </c>
      <c r="F26" s="128">
        <v>56.200157140000002</v>
      </c>
      <c r="G26" s="128">
        <v>64.052863704999993</v>
      </c>
      <c r="H26" s="129" t="s">
        <v>16</v>
      </c>
      <c r="I26" s="129"/>
      <c r="J26" s="129"/>
      <c r="K26" s="75">
        <v>20.630000001275377</v>
      </c>
      <c r="L26" s="46">
        <v>40.632500003026536</v>
      </c>
      <c r="M26" s="92">
        <v>1152101287.4105899</v>
      </c>
      <c r="N26" s="92">
        <v>15790.941415650201</v>
      </c>
      <c r="O26" s="15" t="s">
        <v>103</v>
      </c>
      <c r="P26" s="130" t="s">
        <v>23</v>
      </c>
      <c r="Q26" s="131">
        <v>70.324756780000001</v>
      </c>
      <c r="R26" s="131">
        <v>67.520182812352942</v>
      </c>
      <c r="S26" s="127" t="s">
        <v>25</v>
      </c>
      <c r="T26" s="132" t="s">
        <v>57</v>
      </c>
      <c r="U26" s="130"/>
      <c r="V26" s="108">
        <v>23.600000001624441</v>
      </c>
      <c r="W26" s="48">
        <v>30.66699999793893</v>
      </c>
      <c r="X26" s="98">
        <v>1115395380.4872899</v>
      </c>
      <c r="Y26" s="98">
        <v>14128.886124835601</v>
      </c>
      <c r="Z26" s="17" t="s">
        <v>190</v>
      </c>
      <c r="AA26" s="129" t="s">
        <v>104</v>
      </c>
      <c r="AB26" s="14" t="s">
        <v>105</v>
      </c>
    </row>
    <row r="27" spans="1:28" s="18" customFormat="1" x14ac:dyDescent="0.2">
      <c r="A27" s="8">
        <v>24</v>
      </c>
      <c r="B27" s="127" t="s">
        <v>20</v>
      </c>
      <c r="C27" s="127" t="s">
        <v>21</v>
      </c>
      <c r="D27" s="11" t="s">
        <v>106</v>
      </c>
      <c r="E27" s="17" t="s">
        <v>23</v>
      </c>
      <c r="F27" s="128">
        <v>58.48422832</v>
      </c>
      <c r="G27" s="128">
        <v>62.436892557363635</v>
      </c>
      <c r="H27" s="129" t="s">
        <v>16</v>
      </c>
      <c r="I27" s="129"/>
      <c r="J27" s="129"/>
      <c r="K27" s="75">
        <v>9.0999999932719593</v>
      </c>
      <c r="L27" s="46">
        <v>5.5148623860335233</v>
      </c>
      <c r="M27" s="92">
        <v>1141634273.41225</v>
      </c>
      <c r="N27" s="92">
        <v>14593.0250856936</v>
      </c>
      <c r="O27" s="15" t="s">
        <v>107</v>
      </c>
      <c r="P27" s="130" t="s">
        <v>23</v>
      </c>
      <c r="Q27" s="131">
        <v>65.621511339999998</v>
      </c>
      <c r="R27" s="131">
        <v>63.537957311374974</v>
      </c>
      <c r="S27" s="127" t="s">
        <v>25</v>
      </c>
      <c r="T27" s="134" t="s">
        <v>108</v>
      </c>
      <c r="U27" s="130"/>
      <c r="V27" s="108">
        <v>4.2400000039761361</v>
      </c>
      <c r="W27" s="48">
        <v>4.5303821654292395</v>
      </c>
      <c r="X27" s="98">
        <v>1104594382.45701</v>
      </c>
      <c r="Y27" s="98">
        <v>14572.5869919005</v>
      </c>
      <c r="Z27" s="17" t="s">
        <v>190</v>
      </c>
      <c r="AA27" s="129" t="s">
        <v>104</v>
      </c>
      <c r="AB27" s="14" t="s">
        <v>109</v>
      </c>
    </row>
    <row r="28" spans="1:28" s="18" customFormat="1" x14ac:dyDescent="0.2">
      <c r="A28" s="8">
        <v>25</v>
      </c>
      <c r="B28" s="163" t="s">
        <v>37</v>
      </c>
      <c r="C28" s="130" t="s">
        <v>14</v>
      </c>
      <c r="D28" s="11" t="s">
        <v>110</v>
      </c>
      <c r="E28" s="82" t="s">
        <v>23</v>
      </c>
      <c r="F28" s="128">
        <v>41.401621730000002</v>
      </c>
      <c r="G28" s="128">
        <v>32.403629820555551</v>
      </c>
      <c r="H28" s="136" t="s">
        <v>16</v>
      </c>
      <c r="I28" s="136"/>
      <c r="J28" s="129"/>
      <c r="K28" s="75">
        <v>403.32000044845677</v>
      </c>
      <c r="L28" s="46">
        <v>454.94799984267843</v>
      </c>
      <c r="M28" s="92">
        <v>1154731734.1382799</v>
      </c>
      <c r="N28" s="92">
        <v>14213.6000546123</v>
      </c>
      <c r="O28" s="23" t="s">
        <v>111</v>
      </c>
      <c r="P28" s="137" t="s">
        <v>23</v>
      </c>
      <c r="Q28" s="131">
        <v>32.992022550000002</v>
      </c>
      <c r="R28" s="131">
        <v>27.252593251384223</v>
      </c>
      <c r="S28" s="137" t="s">
        <v>16</v>
      </c>
      <c r="T28" s="137"/>
      <c r="U28" s="130"/>
      <c r="V28" s="108">
        <v>586.37000037141206</v>
      </c>
      <c r="W28" s="48">
        <v>379.93670330746147</v>
      </c>
      <c r="X28" s="98">
        <v>1245600645.9167099</v>
      </c>
      <c r="Y28" s="98">
        <v>16339.15942532</v>
      </c>
      <c r="Z28" s="17" t="s">
        <v>191</v>
      </c>
      <c r="AA28" s="129" t="s">
        <v>112</v>
      </c>
      <c r="AB28" s="14"/>
    </row>
    <row r="29" spans="1:28" s="18" customFormat="1" x14ac:dyDescent="0.2">
      <c r="A29" s="8">
        <v>26</v>
      </c>
      <c r="B29" s="163" t="s">
        <v>37</v>
      </c>
      <c r="C29" s="130" t="s">
        <v>38</v>
      </c>
      <c r="D29" s="11" t="s">
        <v>113</v>
      </c>
      <c r="E29" s="82" t="s">
        <v>23</v>
      </c>
      <c r="F29" s="128">
        <v>38.016314819999998</v>
      </c>
      <c r="G29" s="128">
        <v>34.53754543208052</v>
      </c>
      <c r="H29" s="127" t="s">
        <v>25</v>
      </c>
      <c r="I29" s="164" t="s">
        <v>26</v>
      </c>
      <c r="J29" s="129"/>
      <c r="K29" s="75">
        <v>4729.2699984324208</v>
      </c>
      <c r="L29" s="46">
        <v>765.12317250772571</v>
      </c>
      <c r="M29" s="92">
        <v>1211838455.5174</v>
      </c>
      <c r="N29" s="92">
        <v>16085.0145200354</v>
      </c>
      <c r="O29" s="23" t="s">
        <v>114</v>
      </c>
      <c r="P29" s="137" t="s">
        <v>23</v>
      </c>
      <c r="Q29" s="131">
        <v>36.974460980000003</v>
      </c>
      <c r="R29" s="131">
        <v>32.650297077837834</v>
      </c>
      <c r="S29" s="127" t="s">
        <v>25</v>
      </c>
      <c r="T29" s="132" t="s">
        <v>115</v>
      </c>
      <c r="U29" s="130"/>
      <c r="V29" s="108">
        <v>4247.9699998908764</v>
      </c>
      <c r="W29" s="48">
        <v>1862.8580552863245</v>
      </c>
      <c r="X29" s="98">
        <v>1177796155.25647</v>
      </c>
      <c r="Y29" s="98">
        <v>15299.136525067001</v>
      </c>
      <c r="Z29" s="17" t="s">
        <v>191</v>
      </c>
      <c r="AA29" s="129" t="s">
        <v>116</v>
      </c>
      <c r="AB29" s="14" t="s">
        <v>117</v>
      </c>
    </row>
    <row r="30" spans="1:28" s="18" customFormat="1" x14ac:dyDescent="0.2">
      <c r="A30" s="8">
        <v>27</v>
      </c>
      <c r="B30" s="163" t="s">
        <v>37</v>
      </c>
      <c r="C30" s="130" t="s">
        <v>14</v>
      </c>
      <c r="D30" s="21" t="s">
        <v>118</v>
      </c>
      <c r="E30" s="82" t="s">
        <v>119</v>
      </c>
      <c r="F30" s="128">
        <v>25.329944510000001</v>
      </c>
      <c r="G30" s="128">
        <v>27.327156512500004</v>
      </c>
      <c r="H30" s="136" t="s">
        <v>16</v>
      </c>
      <c r="I30" s="136"/>
      <c r="J30" s="129"/>
      <c r="K30" s="75">
        <v>51.099999984149434</v>
      </c>
      <c r="L30" s="46">
        <v>46.222499984848938</v>
      </c>
      <c r="M30" s="92">
        <v>1102982884.63237</v>
      </c>
      <c r="N30" s="92">
        <v>14693.462212467401</v>
      </c>
      <c r="O30" s="23" t="s">
        <v>120</v>
      </c>
      <c r="P30" s="137" t="s">
        <v>119</v>
      </c>
      <c r="Q30" s="131">
        <v>32.046508209999999</v>
      </c>
      <c r="R30" s="131">
        <v>30.799338644999999</v>
      </c>
      <c r="S30" s="137" t="s">
        <v>16</v>
      </c>
      <c r="T30" s="137"/>
      <c r="U30" s="130"/>
      <c r="V30" s="108">
        <v>52.699999974208303</v>
      </c>
      <c r="W30" s="48">
        <v>49.100000005065922</v>
      </c>
      <c r="X30" s="98">
        <v>1121977045.1545</v>
      </c>
      <c r="Y30" s="98">
        <v>16270.382051933801</v>
      </c>
      <c r="Z30" s="17" t="s">
        <v>192</v>
      </c>
      <c r="AA30" s="129" t="s">
        <v>121</v>
      </c>
      <c r="AB30" s="14" t="s">
        <v>122</v>
      </c>
    </row>
    <row r="31" spans="1:28" s="18" customFormat="1" x14ac:dyDescent="0.2">
      <c r="A31" s="138">
        <v>28</v>
      </c>
      <c r="B31" s="139" t="s">
        <v>37</v>
      </c>
      <c r="C31" s="140" t="s">
        <v>14</v>
      </c>
      <c r="D31" s="165" t="s">
        <v>123</v>
      </c>
      <c r="E31" s="142" t="s">
        <v>23</v>
      </c>
      <c r="F31" s="143">
        <v>38.812413169999999</v>
      </c>
      <c r="G31" s="143">
        <v>38.003943886666669</v>
      </c>
      <c r="H31" s="166" t="s">
        <v>16</v>
      </c>
      <c r="I31" s="166"/>
      <c r="J31" s="146"/>
      <c r="K31" s="147">
        <v>54.999999937407871</v>
      </c>
      <c r="L31" s="148">
        <v>60.236666619969021</v>
      </c>
      <c r="M31" s="149">
        <v>1101198106.05212</v>
      </c>
      <c r="N31" s="149">
        <v>14522.656300122</v>
      </c>
      <c r="O31" s="167" t="s">
        <v>124</v>
      </c>
      <c r="P31" s="151" t="s">
        <v>23</v>
      </c>
      <c r="Q31" s="152">
        <v>34.455690359999998</v>
      </c>
      <c r="R31" s="152">
        <v>37.089448389250002</v>
      </c>
      <c r="S31" s="151" t="s">
        <v>16</v>
      </c>
      <c r="T31" s="151"/>
      <c r="U31" s="140"/>
      <c r="V31" s="154">
        <v>113.9999999116778</v>
      </c>
      <c r="W31" s="155">
        <v>92.844249987846567</v>
      </c>
      <c r="X31" s="156">
        <v>1109183747.2513199</v>
      </c>
      <c r="Y31" s="156">
        <v>15791.063124848</v>
      </c>
      <c r="Z31" s="157" t="s">
        <v>192</v>
      </c>
      <c r="AA31" s="146" t="s">
        <v>125</v>
      </c>
      <c r="AB31" s="158" t="s">
        <v>126</v>
      </c>
    </row>
    <row r="32" spans="1:28" s="18" customFormat="1" x14ac:dyDescent="0.2">
      <c r="A32" s="110">
        <v>29</v>
      </c>
      <c r="B32" s="159" t="s">
        <v>37</v>
      </c>
      <c r="C32" s="112" t="s">
        <v>14</v>
      </c>
      <c r="D32" s="168" t="s">
        <v>127</v>
      </c>
      <c r="E32" s="169" t="s">
        <v>23</v>
      </c>
      <c r="F32" s="115">
        <v>21.665198849999999</v>
      </c>
      <c r="G32" s="115">
        <v>18.314243875254231</v>
      </c>
      <c r="H32" s="170" t="s">
        <v>16</v>
      </c>
      <c r="I32" s="170"/>
      <c r="J32" s="170"/>
      <c r="K32" s="117">
        <v>2371.5799989204465</v>
      </c>
      <c r="L32" s="118">
        <v>926.92799996813983</v>
      </c>
      <c r="M32" s="119">
        <v>1121184390.2305801</v>
      </c>
      <c r="N32" s="119">
        <v>14639.391298677499</v>
      </c>
      <c r="O32" s="171" t="s">
        <v>128</v>
      </c>
      <c r="P32" s="172" t="s">
        <v>23</v>
      </c>
      <c r="Q32" s="121">
        <v>20.54886947</v>
      </c>
      <c r="R32" s="121">
        <v>20.641531104999999</v>
      </c>
      <c r="S32" s="172" t="s">
        <v>16</v>
      </c>
      <c r="T32" s="172"/>
      <c r="U32" s="112"/>
      <c r="V32" s="122">
        <v>3999.9999969793548</v>
      </c>
      <c r="W32" s="123">
        <v>3871.8099993730311</v>
      </c>
      <c r="X32" s="124">
        <v>1102479368.81042</v>
      </c>
      <c r="Y32" s="124">
        <v>15890.143749085601</v>
      </c>
      <c r="Z32" s="125" t="s">
        <v>192</v>
      </c>
      <c r="AA32" s="116" t="s">
        <v>129</v>
      </c>
      <c r="AB32" s="126"/>
    </row>
    <row r="33" spans="1:33" s="18" customFormat="1" x14ac:dyDescent="0.2">
      <c r="A33" s="8">
        <v>30</v>
      </c>
      <c r="B33" s="127" t="s">
        <v>20</v>
      </c>
      <c r="C33" s="127" t="s">
        <v>21</v>
      </c>
      <c r="D33" s="11" t="s">
        <v>130</v>
      </c>
      <c r="E33" s="82" t="s">
        <v>23</v>
      </c>
      <c r="F33" s="128">
        <v>42.409350869999997</v>
      </c>
      <c r="G33" s="128">
        <v>28.933694254705888</v>
      </c>
      <c r="H33" s="136" t="s">
        <v>16</v>
      </c>
      <c r="I33" s="136"/>
      <c r="J33" s="136"/>
      <c r="K33" s="75">
        <v>96.290000065230885</v>
      </c>
      <c r="L33" s="46">
        <v>134.00352939393434</v>
      </c>
      <c r="M33" s="92">
        <v>1146510011.74174</v>
      </c>
      <c r="N33" s="92">
        <v>16099.8940049423</v>
      </c>
      <c r="O33" s="15" t="s">
        <v>131</v>
      </c>
      <c r="P33" s="137" t="s">
        <v>23</v>
      </c>
      <c r="Q33" s="131">
        <v>40.104351430000001</v>
      </c>
      <c r="R33" s="131">
        <v>33.095598666923074</v>
      </c>
      <c r="S33" s="127" t="s">
        <v>25</v>
      </c>
      <c r="T33" s="134" t="s">
        <v>60</v>
      </c>
      <c r="U33" s="137"/>
      <c r="V33" s="108">
        <v>42.400000039761373</v>
      </c>
      <c r="W33" s="48">
        <v>35.657307697429765</v>
      </c>
      <c r="X33" s="98">
        <v>1082966621.8972299</v>
      </c>
      <c r="Y33" s="98">
        <v>14449.2059778231</v>
      </c>
      <c r="Z33" s="17" t="s">
        <v>192</v>
      </c>
      <c r="AA33" s="129" t="s">
        <v>132</v>
      </c>
      <c r="AB33" s="14"/>
    </row>
    <row r="34" spans="1:33" s="18" customFormat="1" x14ac:dyDescent="0.2">
      <c r="A34" s="8">
        <v>31</v>
      </c>
      <c r="B34" s="163" t="s">
        <v>37</v>
      </c>
      <c r="C34" s="130" t="s">
        <v>14</v>
      </c>
      <c r="D34" s="11" t="s">
        <v>182</v>
      </c>
      <c r="E34" s="82" t="s">
        <v>23</v>
      </c>
      <c r="F34" s="128">
        <v>16.289022079999999</v>
      </c>
      <c r="G34" s="128">
        <v>21.259630229457397</v>
      </c>
      <c r="H34" s="136" t="s">
        <v>16</v>
      </c>
      <c r="I34" s="136"/>
      <c r="J34" s="136"/>
      <c r="K34" s="75">
        <v>25.549999972306377</v>
      </c>
      <c r="L34" s="46">
        <v>81.135565598717392</v>
      </c>
      <c r="M34" s="92">
        <v>1168452230.3999701</v>
      </c>
      <c r="N34" s="92">
        <v>14405.0486215031</v>
      </c>
      <c r="O34" s="23" t="s">
        <v>133</v>
      </c>
      <c r="P34" s="137" t="s">
        <v>23</v>
      </c>
      <c r="Q34" s="131">
        <v>19.638930760000001</v>
      </c>
      <c r="R34" s="131">
        <v>22.459104802352943</v>
      </c>
      <c r="S34" s="137" t="s">
        <v>16</v>
      </c>
      <c r="T34" s="137"/>
      <c r="U34" s="137"/>
      <c r="V34" s="108">
        <v>46.799999992012332</v>
      </c>
      <c r="W34" s="48">
        <v>27.407058824246327</v>
      </c>
      <c r="X34" s="98">
        <v>1139499084.3313301</v>
      </c>
      <c r="Y34" s="98">
        <v>15828.700782477599</v>
      </c>
      <c r="Z34" s="17" t="s">
        <v>192</v>
      </c>
      <c r="AA34" s="129" t="s">
        <v>134</v>
      </c>
      <c r="AB34" s="14"/>
    </row>
    <row r="35" spans="1:33" s="18" customFormat="1" x14ac:dyDescent="0.2">
      <c r="A35" s="8">
        <v>32</v>
      </c>
      <c r="B35" s="163" t="s">
        <v>37</v>
      </c>
      <c r="C35" s="130" t="s">
        <v>14</v>
      </c>
      <c r="D35" s="11" t="s">
        <v>135</v>
      </c>
      <c r="E35" s="82" t="s">
        <v>23</v>
      </c>
      <c r="F35" s="128">
        <v>10.6789811</v>
      </c>
      <c r="G35" s="128">
        <v>10.6789811</v>
      </c>
      <c r="H35" s="136" t="s">
        <v>16</v>
      </c>
      <c r="I35" s="136"/>
      <c r="J35" s="136"/>
      <c r="K35" s="75">
        <v>1400.0000010372382</v>
      </c>
      <c r="L35" s="46">
        <v>1400.0000010372382</v>
      </c>
      <c r="M35" s="92">
        <v>1161341873.44103</v>
      </c>
      <c r="N35" s="92">
        <v>15133.446081604699</v>
      </c>
      <c r="O35" s="23" t="s">
        <v>136</v>
      </c>
      <c r="P35" s="137" t="s">
        <v>23</v>
      </c>
      <c r="Q35" s="131">
        <v>10.686582570000001</v>
      </c>
      <c r="R35" s="131">
        <v>10.686582570000001</v>
      </c>
      <c r="S35" s="137" t="s">
        <v>16</v>
      </c>
      <c r="T35" s="137"/>
      <c r="U35" s="137"/>
      <c r="V35" s="108">
        <v>1297.9999986121711</v>
      </c>
      <c r="W35" s="48">
        <v>1297.9999986121711</v>
      </c>
      <c r="X35" s="98">
        <v>1164886917.7786801</v>
      </c>
      <c r="Y35" s="98">
        <v>15841.9070414419</v>
      </c>
      <c r="Z35" s="17" t="s">
        <v>193</v>
      </c>
      <c r="AA35" s="129" t="s">
        <v>137</v>
      </c>
      <c r="AB35" s="14" t="s">
        <v>138</v>
      </c>
    </row>
    <row r="36" spans="1:33" s="18" customFormat="1" x14ac:dyDescent="0.2">
      <c r="A36" s="8" t="s">
        <v>223</v>
      </c>
      <c r="B36" s="127" t="s">
        <v>20</v>
      </c>
      <c r="C36" s="127" t="s">
        <v>21</v>
      </c>
      <c r="D36" s="21" t="s">
        <v>139</v>
      </c>
      <c r="E36" s="82" t="s">
        <v>23</v>
      </c>
      <c r="F36" s="128">
        <v>18.919017530000001</v>
      </c>
      <c r="G36" s="128">
        <v>19.119666978749997</v>
      </c>
      <c r="H36" s="136" t="s">
        <v>16</v>
      </c>
      <c r="I36" s="136"/>
      <c r="J36" s="136"/>
      <c r="K36" s="75">
        <v>623.58000047396831</v>
      </c>
      <c r="L36" s="46">
        <v>379.97500017522975</v>
      </c>
      <c r="M36" s="92">
        <v>1169964629.2257299</v>
      </c>
      <c r="N36" s="92">
        <v>15649.2477742551</v>
      </c>
      <c r="O36" s="23" t="s">
        <v>140</v>
      </c>
      <c r="P36" s="137" t="s">
        <v>23</v>
      </c>
      <c r="Q36" s="131">
        <v>55.422399259999999</v>
      </c>
      <c r="R36" s="131">
        <v>46.4742153322807</v>
      </c>
      <c r="S36" s="127" t="s">
        <v>25</v>
      </c>
      <c r="T36" s="132" t="s">
        <v>115</v>
      </c>
      <c r="U36" s="137"/>
      <c r="V36" s="108">
        <v>759.94999941293793</v>
      </c>
      <c r="W36" s="48">
        <v>393.82160713452311</v>
      </c>
      <c r="X36" s="98">
        <v>1164244529.0397999</v>
      </c>
      <c r="Y36" s="98">
        <v>15111.1199700211</v>
      </c>
      <c r="Z36" s="17" t="s">
        <v>193</v>
      </c>
      <c r="AA36" s="129" t="s">
        <v>141</v>
      </c>
      <c r="AB36" s="14" t="s">
        <v>142</v>
      </c>
    </row>
    <row r="37" spans="1:33" s="18" customFormat="1" x14ac:dyDescent="0.2">
      <c r="A37" s="8">
        <v>34</v>
      </c>
      <c r="B37" s="127" t="s">
        <v>20</v>
      </c>
      <c r="C37" s="127" t="s">
        <v>21</v>
      </c>
      <c r="D37" s="21" t="s">
        <v>143</v>
      </c>
      <c r="E37" s="82" t="s">
        <v>23</v>
      </c>
      <c r="F37" s="128">
        <v>34.48747281</v>
      </c>
      <c r="G37" s="128">
        <v>29.941332736666666</v>
      </c>
      <c r="H37" s="136" t="s">
        <v>16</v>
      </c>
      <c r="I37" s="136"/>
      <c r="J37" s="136"/>
      <c r="K37" s="75">
        <v>862.96999938452666</v>
      </c>
      <c r="L37" s="46">
        <v>1007.6766666469121</v>
      </c>
      <c r="M37" s="92">
        <v>1076982615.9507599</v>
      </c>
      <c r="N37" s="92">
        <v>15176.527237910501</v>
      </c>
      <c r="O37" s="23" t="s">
        <v>144</v>
      </c>
      <c r="P37" s="137" t="s">
        <v>23</v>
      </c>
      <c r="Q37" s="131">
        <v>50.820552210000002</v>
      </c>
      <c r="R37" s="131">
        <v>40.531540337100289</v>
      </c>
      <c r="S37" s="127" t="s">
        <v>25</v>
      </c>
      <c r="T37" s="134" t="s">
        <v>145</v>
      </c>
      <c r="U37" s="137"/>
      <c r="V37" s="108">
        <v>28.989999976303245</v>
      </c>
      <c r="W37" s="48">
        <v>1007.6766666469121</v>
      </c>
      <c r="X37" s="98">
        <v>1101580076.9507201</v>
      </c>
      <c r="Y37" s="98">
        <v>13769.309358181799</v>
      </c>
      <c r="Z37" s="17" t="s">
        <v>193</v>
      </c>
      <c r="AA37" s="129" t="s">
        <v>146</v>
      </c>
      <c r="AB37" s="14"/>
    </row>
    <row r="38" spans="1:33" s="18" customFormat="1" x14ac:dyDescent="0.2">
      <c r="A38" s="138">
        <v>35</v>
      </c>
      <c r="B38" s="139" t="s">
        <v>37</v>
      </c>
      <c r="C38" s="140" t="s">
        <v>14</v>
      </c>
      <c r="D38" s="165" t="s">
        <v>147</v>
      </c>
      <c r="E38" s="142" t="s">
        <v>23</v>
      </c>
      <c r="F38" s="143">
        <v>15.69798372</v>
      </c>
      <c r="G38" s="143">
        <v>18.463281178235292</v>
      </c>
      <c r="H38" s="166" t="s">
        <v>16</v>
      </c>
      <c r="I38" s="166"/>
      <c r="J38" s="166"/>
      <c r="K38" s="147">
        <v>16.699999994324962</v>
      </c>
      <c r="L38" s="148">
        <v>15.155624995660526</v>
      </c>
      <c r="M38" s="149">
        <v>1194692095.1575201</v>
      </c>
      <c r="N38" s="149">
        <v>15141.628628314</v>
      </c>
      <c r="O38" s="167" t="s">
        <v>148</v>
      </c>
      <c r="P38" s="151" t="s">
        <v>23</v>
      </c>
      <c r="Q38" s="152">
        <v>18.391934790000001</v>
      </c>
      <c r="R38" s="152">
        <v>19.288713850000001</v>
      </c>
      <c r="S38" s="151" t="s">
        <v>16</v>
      </c>
      <c r="T38" s="151"/>
      <c r="U38" s="151"/>
      <c r="V38" s="154">
        <v>8.3400000069567088</v>
      </c>
      <c r="W38" s="155">
        <v>9.2211111093385014</v>
      </c>
      <c r="X38" s="156">
        <v>1068315062.53522</v>
      </c>
      <c r="Y38" s="156">
        <v>15067.1071498284</v>
      </c>
      <c r="Z38" s="157" t="s">
        <v>193</v>
      </c>
      <c r="AA38" s="146" t="s">
        <v>149</v>
      </c>
      <c r="AB38" s="158" t="s">
        <v>150</v>
      </c>
    </row>
    <row r="39" spans="1:33" s="18" customFormat="1" x14ac:dyDescent="0.2">
      <c r="A39" s="8">
        <v>36</v>
      </c>
      <c r="B39" s="9" t="s">
        <v>13</v>
      </c>
      <c r="C39" s="10" t="s">
        <v>14</v>
      </c>
      <c r="D39" s="21" t="s">
        <v>151</v>
      </c>
      <c r="E39" s="81" t="s">
        <v>176</v>
      </c>
      <c r="F39" s="12">
        <v>15.48005436</v>
      </c>
      <c r="G39" s="12">
        <v>9.5388757768421026</v>
      </c>
      <c r="H39" s="22" t="s">
        <v>16</v>
      </c>
      <c r="I39" s="22"/>
      <c r="J39" s="22"/>
      <c r="K39" s="75">
        <v>17.799999987339671</v>
      </c>
      <c r="L39" s="46">
        <v>31.105471695972899</v>
      </c>
      <c r="M39" s="92">
        <v>1066557705.37684</v>
      </c>
      <c r="N39" s="92">
        <v>15710.9008867053</v>
      </c>
      <c r="O39" s="23" t="s">
        <v>152</v>
      </c>
      <c r="P39" s="24" t="s">
        <v>23</v>
      </c>
      <c r="Q39" s="16">
        <v>18.454634299999999</v>
      </c>
      <c r="R39" s="16">
        <v>16.1539033503125</v>
      </c>
      <c r="S39" s="24" t="s">
        <v>16</v>
      </c>
      <c r="T39" s="24"/>
      <c r="U39" s="24"/>
      <c r="V39" s="108">
        <v>33.4999999971579</v>
      </c>
      <c r="W39" s="48">
        <v>32.875682539747501</v>
      </c>
      <c r="X39" s="98">
        <v>1052497871.4555</v>
      </c>
      <c r="Y39" s="98">
        <v>15850.936467269201</v>
      </c>
      <c r="Z39" s="17" t="s">
        <v>193</v>
      </c>
      <c r="AA39" s="13" t="s">
        <v>153</v>
      </c>
      <c r="AB39" s="14"/>
    </row>
    <row r="40" spans="1:33" s="18" customFormat="1" x14ac:dyDescent="0.2">
      <c r="A40" s="8">
        <v>37</v>
      </c>
      <c r="B40" s="20" t="s">
        <v>37</v>
      </c>
      <c r="C40" s="10" t="s">
        <v>14</v>
      </c>
      <c r="D40" s="11" t="s">
        <v>154</v>
      </c>
      <c r="E40" s="81" t="s">
        <v>176</v>
      </c>
      <c r="F40" s="12">
        <v>6.0273972599999999</v>
      </c>
      <c r="G40" s="12">
        <v>8.3260956299999993</v>
      </c>
      <c r="H40" s="13" t="s">
        <v>16</v>
      </c>
      <c r="I40" s="13"/>
      <c r="J40" s="13"/>
      <c r="K40" s="75">
        <v>42.150000003808309</v>
      </c>
      <c r="L40" s="46">
        <v>33.075000009872774</v>
      </c>
      <c r="M40" s="92">
        <v>1064545541.59391</v>
      </c>
      <c r="N40" s="92">
        <v>16939.7574130502</v>
      </c>
      <c r="O40" s="15" t="s">
        <v>155</v>
      </c>
      <c r="P40" s="9" t="s">
        <v>18</v>
      </c>
      <c r="Q40" s="16">
        <v>1.970630487</v>
      </c>
      <c r="R40" s="16">
        <v>2.6087220905000001</v>
      </c>
      <c r="S40" s="10" t="s">
        <v>16</v>
      </c>
      <c r="T40" s="24"/>
      <c r="U40" s="10"/>
      <c r="V40" s="108">
        <v>972.62000060897537</v>
      </c>
      <c r="W40" s="48">
        <v>950.31000007065586</v>
      </c>
      <c r="X40" s="98">
        <v>1053652877.6775</v>
      </c>
      <c r="Y40" s="98">
        <v>15812.877962091499</v>
      </c>
      <c r="Z40" s="17" t="s">
        <v>193</v>
      </c>
      <c r="AA40" s="13" t="s">
        <v>156</v>
      </c>
      <c r="AB40" s="14"/>
    </row>
    <row r="41" spans="1:33" s="18" customFormat="1" x14ac:dyDescent="0.2">
      <c r="A41" s="8">
        <v>38</v>
      </c>
      <c r="B41" s="9" t="s">
        <v>13</v>
      </c>
      <c r="C41" s="10" t="s">
        <v>14</v>
      </c>
      <c r="D41" s="21" t="s">
        <v>157</v>
      </c>
      <c r="E41" s="80" t="s">
        <v>18</v>
      </c>
      <c r="F41" s="12">
        <v>11.151011159999999</v>
      </c>
      <c r="G41" s="12">
        <v>10.541642863333333</v>
      </c>
      <c r="H41" s="22" t="s">
        <v>16</v>
      </c>
      <c r="I41" s="22"/>
      <c r="J41" s="22"/>
      <c r="K41" s="75">
        <v>149.90999994399482</v>
      </c>
      <c r="L41" s="46">
        <v>88.676666603822866</v>
      </c>
      <c r="M41" s="92">
        <v>1033933681.63682</v>
      </c>
      <c r="N41" s="92">
        <v>15831.36356482</v>
      </c>
      <c r="O41" s="23" t="s">
        <v>158</v>
      </c>
      <c r="P41" s="24" t="s">
        <v>23</v>
      </c>
      <c r="Q41" s="16">
        <v>11.73243956</v>
      </c>
      <c r="R41" s="16">
        <v>10.772145351000001</v>
      </c>
      <c r="S41" s="24" t="s">
        <v>16</v>
      </c>
      <c r="T41" s="24"/>
      <c r="U41" s="24"/>
      <c r="V41" s="108">
        <v>57.799999944032052</v>
      </c>
      <c r="W41" s="48">
        <v>54.030000006059637</v>
      </c>
      <c r="X41" s="98">
        <v>1050341548.12155</v>
      </c>
      <c r="Y41" s="98">
        <v>16018.328104341501</v>
      </c>
      <c r="Z41" s="17" t="s">
        <v>193</v>
      </c>
      <c r="AA41" s="13" t="s">
        <v>159</v>
      </c>
      <c r="AB41" s="14"/>
    </row>
    <row r="42" spans="1:33" s="18" customFormat="1" x14ac:dyDescent="0.2">
      <c r="A42" s="8">
        <v>39</v>
      </c>
      <c r="B42" s="19" t="s">
        <v>20</v>
      </c>
      <c r="C42" s="19" t="s">
        <v>21</v>
      </c>
      <c r="D42" s="21" t="s">
        <v>160</v>
      </c>
      <c r="E42" s="82" t="s">
        <v>23</v>
      </c>
      <c r="F42" s="12">
        <v>16.480800760000001</v>
      </c>
      <c r="G42" s="12">
        <v>12.782257312216213</v>
      </c>
      <c r="H42" s="22" t="s">
        <v>16</v>
      </c>
      <c r="I42" s="22"/>
      <c r="J42" s="22"/>
      <c r="K42" s="75">
        <v>77.120000018685502</v>
      </c>
      <c r="L42" s="46">
        <v>141.74810809983273</v>
      </c>
      <c r="M42" s="92">
        <v>1047053180.25054</v>
      </c>
      <c r="N42" s="92">
        <v>15338.030147372199</v>
      </c>
      <c r="O42" s="23" t="s">
        <v>161</v>
      </c>
      <c r="P42" s="24" t="s">
        <v>23</v>
      </c>
      <c r="Q42" s="16">
        <v>35.216607809999999</v>
      </c>
      <c r="R42" s="16">
        <v>32.01619107380953</v>
      </c>
      <c r="S42" s="19" t="s">
        <v>25</v>
      </c>
      <c r="T42" s="44" t="s">
        <v>26</v>
      </c>
      <c r="U42" s="24"/>
      <c r="V42" s="108">
        <v>448.75999963833306</v>
      </c>
      <c r="W42" s="48">
        <v>396.21203383492463</v>
      </c>
      <c r="X42" s="98">
        <v>1081915449.9195199</v>
      </c>
      <c r="Y42" s="98">
        <v>14548.453900246899</v>
      </c>
      <c r="Z42" s="17" t="s">
        <v>193</v>
      </c>
      <c r="AA42" s="13" t="s">
        <v>162</v>
      </c>
      <c r="AB42" s="14" t="s">
        <v>163</v>
      </c>
    </row>
    <row r="43" spans="1:33" s="18" customFormat="1" x14ac:dyDescent="0.2">
      <c r="A43" s="8">
        <v>40</v>
      </c>
      <c r="B43" s="19" t="s">
        <v>20</v>
      </c>
      <c r="C43" s="19" t="s">
        <v>21</v>
      </c>
      <c r="D43" s="11" t="s">
        <v>164</v>
      </c>
      <c r="E43" s="82" t="s">
        <v>23</v>
      </c>
      <c r="F43" s="12">
        <v>21.811326770000001</v>
      </c>
      <c r="G43" s="12">
        <v>21.811326770000001</v>
      </c>
      <c r="H43" s="22" t="s">
        <v>16</v>
      </c>
      <c r="I43" s="22" t="s">
        <v>165</v>
      </c>
      <c r="J43" s="22"/>
      <c r="K43" s="75">
        <v>13.819999998785063</v>
      </c>
      <c r="L43" s="46">
        <v>13.819999998785063</v>
      </c>
      <c r="M43" s="92">
        <v>929869190.87817395</v>
      </c>
      <c r="N43" s="92">
        <v>15562.791177790899</v>
      </c>
      <c r="O43" s="23" t="s">
        <v>166</v>
      </c>
      <c r="P43" s="24" t="s">
        <v>23</v>
      </c>
      <c r="Q43" s="16">
        <v>28.34649598</v>
      </c>
      <c r="R43" s="16">
        <v>24.140030172989697</v>
      </c>
      <c r="S43" s="19" t="s">
        <v>25</v>
      </c>
      <c r="T43" s="45" t="s">
        <v>60</v>
      </c>
      <c r="U43" s="24"/>
      <c r="V43" s="108">
        <v>22.199999976964538</v>
      </c>
      <c r="W43" s="48">
        <v>29.841648349399971</v>
      </c>
      <c r="X43" s="98">
        <v>1087868626.26759</v>
      </c>
      <c r="Y43" s="98">
        <v>16512.6410559785</v>
      </c>
      <c r="Z43" s="17" t="s">
        <v>193</v>
      </c>
      <c r="AA43" s="13" t="s">
        <v>167</v>
      </c>
      <c r="AB43" s="14"/>
    </row>
    <row r="44" spans="1:33" s="18" customFormat="1" x14ac:dyDescent="0.2">
      <c r="A44" s="8">
        <v>41</v>
      </c>
      <c r="B44" s="19" t="s">
        <v>20</v>
      </c>
      <c r="C44" s="19" t="s">
        <v>21</v>
      </c>
      <c r="D44" s="21" t="s">
        <v>168</v>
      </c>
      <c r="E44" s="82" t="s">
        <v>23</v>
      </c>
      <c r="F44" s="12">
        <v>21.344871479999998</v>
      </c>
      <c r="G44" s="12">
        <v>21.317077387073173</v>
      </c>
      <c r="H44" s="22" t="s">
        <v>16</v>
      </c>
      <c r="I44" s="22"/>
      <c r="J44" s="22"/>
      <c r="K44" s="75">
        <v>12.299999987555465</v>
      </c>
      <c r="L44" s="46">
        <v>12.785853658147893</v>
      </c>
      <c r="M44" s="92">
        <v>1052010832.86068</v>
      </c>
      <c r="N44" s="92">
        <v>16241.278836186801</v>
      </c>
      <c r="O44" s="23" t="s">
        <v>169</v>
      </c>
      <c r="P44" s="24" t="s">
        <v>23</v>
      </c>
      <c r="Q44" s="16">
        <v>21.251734540000001</v>
      </c>
      <c r="R44" s="16">
        <v>20.675490875714292</v>
      </c>
      <c r="S44" s="19" t="s">
        <v>25</v>
      </c>
      <c r="T44" s="45" t="s">
        <v>145</v>
      </c>
      <c r="U44" s="24"/>
      <c r="V44" s="108">
        <v>12.040000002167792</v>
      </c>
      <c r="W44" s="48">
        <v>13.000714284583239</v>
      </c>
      <c r="X44" s="98">
        <v>1205791180.5840499</v>
      </c>
      <c r="Y44" s="98">
        <v>17280.731792041399</v>
      </c>
      <c r="Z44" s="17" t="s">
        <v>193</v>
      </c>
      <c r="AA44" s="13" t="s">
        <v>170</v>
      </c>
      <c r="AB44" s="14" t="s">
        <v>171</v>
      </c>
    </row>
    <row r="45" spans="1:33" s="18" customFormat="1" x14ac:dyDescent="0.2">
      <c r="A45" s="25">
        <v>42</v>
      </c>
      <c r="B45" s="26" t="s">
        <v>37</v>
      </c>
      <c r="C45" s="27" t="s">
        <v>14</v>
      </c>
      <c r="D45" s="28" t="s">
        <v>172</v>
      </c>
      <c r="E45" s="83" t="s">
        <v>23</v>
      </c>
      <c r="F45" s="30">
        <v>19.03296593</v>
      </c>
      <c r="G45" s="30">
        <v>17.396512185882354</v>
      </c>
      <c r="H45" s="29" t="s">
        <v>16</v>
      </c>
      <c r="I45" s="29"/>
      <c r="J45" s="29"/>
      <c r="K45" s="77">
        <v>24.000000015937239</v>
      </c>
      <c r="L45" s="50">
        <v>14.582835818987101</v>
      </c>
      <c r="M45" s="95">
        <v>1060948464.72207</v>
      </c>
      <c r="N45" s="95">
        <v>14639.061396097601</v>
      </c>
      <c r="O45" s="31" t="s">
        <v>173</v>
      </c>
      <c r="P45" s="32" t="s">
        <v>23</v>
      </c>
      <c r="Q45" s="33">
        <v>20.017447839999999</v>
      </c>
      <c r="R45" s="33">
        <v>20.791636886769222</v>
      </c>
      <c r="S45" s="32" t="s">
        <v>16</v>
      </c>
      <c r="T45" s="32"/>
      <c r="U45" s="32"/>
      <c r="V45" s="109">
        <v>28.540000014547623</v>
      </c>
      <c r="W45" s="49">
        <v>19.000153846402995</v>
      </c>
      <c r="X45" s="101">
        <v>1058308472.93695</v>
      </c>
      <c r="Y45" s="101">
        <v>16680.375812508199</v>
      </c>
      <c r="Z45" s="34" t="s">
        <v>193</v>
      </c>
      <c r="AA45" s="35" t="s">
        <v>174</v>
      </c>
      <c r="AB45" s="36" t="s">
        <v>175</v>
      </c>
    </row>
    <row r="46" spans="1:33" s="18" customFormat="1" x14ac:dyDescent="0.2">
      <c r="D46" s="37"/>
      <c r="F46" s="38"/>
      <c r="G46" s="38"/>
      <c r="Q46" s="38"/>
      <c r="R46" s="38"/>
    </row>
    <row r="47" spans="1:33" s="18" customFormat="1" x14ac:dyDescent="0.2">
      <c r="D47" s="37"/>
      <c r="F47" s="38"/>
      <c r="G47" s="38"/>
      <c r="Q47" s="38"/>
      <c r="R47" s="38"/>
    </row>
    <row r="48" spans="1:33" s="18" customFormat="1" ht="17" x14ac:dyDescent="0.2">
      <c r="A48" s="64" t="s">
        <v>205</v>
      </c>
      <c r="B48" s="18" t="s">
        <v>208</v>
      </c>
      <c r="E48" s="39"/>
      <c r="H48" s="38"/>
      <c r="AD48" s="37"/>
      <c r="AG48" s="37"/>
    </row>
    <row r="49" spans="1:33" s="18" customFormat="1" x14ac:dyDescent="0.2">
      <c r="A49" s="64" t="s">
        <v>206</v>
      </c>
      <c r="B49" s="18" t="s">
        <v>209</v>
      </c>
      <c r="E49" s="39"/>
      <c r="H49" s="38"/>
      <c r="AD49" s="37"/>
      <c r="AG49" s="37"/>
    </row>
    <row r="50" spans="1:33" s="18" customFormat="1" ht="17" x14ac:dyDescent="0.2">
      <c r="A50" s="64" t="s">
        <v>207</v>
      </c>
      <c r="B50" s="18" t="s">
        <v>216</v>
      </c>
      <c r="E50" s="39"/>
      <c r="H50" s="38"/>
      <c r="AD50" s="37"/>
      <c r="AG50" s="37"/>
    </row>
    <row r="51" spans="1:33" s="18" customFormat="1" ht="17" x14ac:dyDescent="0.2">
      <c r="A51" s="65" t="s">
        <v>204</v>
      </c>
      <c r="B51" s="18" t="s">
        <v>215</v>
      </c>
      <c r="E51" s="39"/>
      <c r="H51" s="38"/>
      <c r="AD51" s="37"/>
      <c r="AG51" s="37"/>
    </row>
    <row r="52" spans="1:33" x14ac:dyDescent="0.2">
      <c r="A52" s="40"/>
      <c r="E52" s="42"/>
      <c r="F52" s="1"/>
      <c r="G52" s="1"/>
      <c r="H52" s="41"/>
      <c r="Q52" s="1"/>
      <c r="R52" s="1"/>
      <c r="AC52" s="18"/>
      <c r="AD52" s="37"/>
      <c r="AE52" s="18"/>
      <c r="AF52" s="18"/>
      <c r="AG52" s="37"/>
    </row>
    <row r="53" spans="1:33" x14ac:dyDescent="0.2">
      <c r="A53" s="40"/>
      <c r="E53" s="42"/>
      <c r="F53" s="1"/>
      <c r="G53" s="1"/>
      <c r="H53" s="41"/>
      <c r="Q53" s="1"/>
      <c r="R53" s="1"/>
      <c r="AC53" s="18"/>
      <c r="AD53" s="37"/>
      <c r="AE53" s="18"/>
      <c r="AF53" s="18"/>
      <c r="AG53" s="37"/>
    </row>
    <row r="54" spans="1:33" x14ac:dyDescent="0.2">
      <c r="A54" s="40"/>
      <c r="E54" s="42"/>
      <c r="F54" s="1"/>
      <c r="G54" s="1"/>
      <c r="H54" s="41"/>
      <c r="Q54" s="1"/>
      <c r="R54" s="1"/>
      <c r="AC54" s="18"/>
      <c r="AD54" s="37"/>
      <c r="AE54" s="18"/>
      <c r="AF54" s="18"/>
      <c r="AG54" s="37"/>
    </row>
    <row r="55" spans="1:33" x14ac:dyDescent="0.2">
      <c r="A55" s="40"/>
      <c r="E55" s="42"/>
      <c r="F55" s="1"/>
      <c r="G55" s="1"/>
      <c r="H55" s="41"/>
      <c r="Q55" s="1"/>
      <c r="R55" s="1"/>
      <c r="AC55" s="18"/>
      <c r="AD55" s="37"/>
      <c r="AE55" s="18"/>
      <c r="AF55" s="18"/>
      <c r="AG55" s="37"/>
    </row>
    <row r="56" spans="1:33" x14ac:dyDescent="0.2">
      <c r="A56" s="42"/>
      <c r="E56" s="42"/>
      <c r="F56" s="1"/>
      <c r="G56" s="1"/>
      <c r="H56" s="41"/>
      <c r="Q56" s="1"/>
      <c r="R56" s="1"/>
      <c r="AC56" s="18"/>
      <c r="AD56" s="37"/>
      <c r="AE56" s="18"/>
      <c r="AF56" s="18"/>
      <c r="AG56" s="37"/>
    </row>
    <row r="57" spans="1:33" x14ac:dyDescent="0.2">
      <c r="A57" s="42"/>
      <c r="E57" s="42"/>
      <c r="F57" s="1"/>
      <c r="G57" s="1"/>
      <c r="H57" s="41"/>
      <c r="Q57" s="1"/>
      <c r="R57" s="1"/>
      <c r="AC57" s="18"/>
      <c r="AD57" s="37"/>
      <c r="AE57" s="18"/>
      <c r="AF57" s="18"/>
      <c r="AG57" s="37"/>
    </row>
    <row r="58" spans="1:33" x14ac:dyDescent="0.2">
      <c r="A58" s="42"/>
      <c r="E58" s="42"/>
      <c r="F58" s="1"/>
      <c r="G58" s="1"/>
      <c r="H58" s="41"/>
      <c r="Q58" s="1"/>
      <c r="R58" s="1"/>
      <c r="AC58" s="18"/>
      <c r="AD58" s="37"/>
      <c r="AE58" s="18"/>
      <c r="AF58" s="18"/>
      <c r="AG58" s="37"/>
    </row>
    <row r="59" spans="1:33" x14ac:dyDescent="0.2">
      <c r="A59" s="42"/>
      <c r="E59" s="42"/>
      <c r="F59" s="1"/>
      <c r="G59" s="1"/>
      <c r="H59" s="41"/>
      <c r="Q59" s="1"/>
      <c r="R59" s="1"/>
      <c r="AC59" s="18"/>
      <c r="AD59" s="37"/>
      <c r="AE59" s="18"/>
      <c r="AF59" s="18"/>
      <c r="AG59" s="37"/>
    </row>
    <row r="60" spans="1:33" x14ac:dyDescent="0.2">
      <c r="A60" s="42"/>
      <c r="E60" s="42"/>
      <c r="F60" s="1"/>
      <c r="G60" s="1"/>
      <c r="H60" s="41"/>
      <c r="Q60" s="1"/>
      <c r="R60" s="1"/>
      <c r="AC60" s="18"/>
      <c r="AD60" s="37"/>
      <c r="AE60" s="18"/>
      <c r="AF60" s="18"/>
      <c r="AG60" s="37"/>
    </row>
    <row r="61" spans="1:33" x14ac:dyDescent="0.2">
      <c r="A61" s="42"/>
      <c r="E61" s="42"/>
      <c r="F61" s="1"/>
      <c r="G61" s="1"/>
      <c r="H61" s="41"/>
      <c r="Q61" s="1"/>
      <c r="R61" s="1"/>
      <c r="AC61" s="18"/>
      <c r="AD61" s="37"/>
      <c r="AE61" s="18"/>
      <c r="AF61" s="18"/>
      <c r="AG61" s="37"/>
    </row>
    <row r="62" spans="1:33" x14ac:dyDescent="0.2">
      <c r="A62" s="42"/>
      <c r="E62" s="42"/>
      <c r="F62" s="1"/>
      <c r="G62" s="1"/>
      <c r="H62" s="41"/>
      <c r="Q62" s="1"/>
      <c r="R62" s="1"/>
      <c r="AC62" s="18"/>
      <c r="AD62" s="37"/>
      <c r="AE62" s="18"/>
      <c r="AF62" s="18"/>
      <c r="AG62" s="37"/>
    </row>
    <row r="63" spans="1:33" x14ac:dyDescent="0.2">
      <c r="A63" s="42"/>
      <c r="E63" s="42"/>
      <c r="F63" s="1"/>
      <c r="G63" s="1"/>
      <c r="H63" s="41"/>
      <c r="Q63" s="1"/>
      <c r="R63" s="1"/>
      <c r="AC63" s="18"/>
      <c r="AD63" s="37"/>
      <c r="AE63" s="18"/>
      <c r="AF63" s="18"/>
      <c r="AG63" s="37"/>
    </row>
    <row r="64" spans="1:33" x14ac:dyDescent="0.2">
      <c r="A64" s="42"/>
      <c r="E64" s="42"/>
      <c r="F64" s="1"/>
      <c r="G64" s="1"/>
      <c r="H64" s="41"/>
      <c r="Q64" s="1"/>
      <c r="R64" s="1"/>
      <c r="AC64" s="18"/>
      <c r="AD64" s="37"/>
      <c r="AE64" s="18"/>
      <c r="AF64" s="18"/>
      <c r="AG64" s="37"/>
    </row>
    <row r="65" spans="1:33" x14ac:dyDescent="0.2">
      <c r="A65" s="42"/>
      <c r="E65" s="42"/>
      <c r="F65" s="1"/>
      <c r="G65" s="1"/>
      <c r="H65" s="41"/>
      <c r="Q65" s="1"/>
      <c r="R65" s="1"/>
      <c r="AC65" s="18"/>
      <c r="AD65" s="37"/>
      <c r="AE65" s="18"/>
      <c r="AF65" s="18"/>
      <c r="AG65" s="37"/>
    </row>
    <row r="66" spans="1:33" x14ac:dyDescent="0.2">
      <c r="A66" s="42"/>
      <c r="E66" s="42"/>
      <c r="F66" s="1"/>
      <c r="G66" s="1"/>
      <c r="H66" s="41"/>
      <c r="Q66" s="1"/>
      <c r="R66" s="1"/>
      <c r="AC66" s="18"/>
      <c r="AD66" s="37"/>
      <c r="AE66" s="18"/>
      <c r="AF66" s="18"/>
      <c r="AG66" s="37"/>
    </row>
    <row r="67" spans="1:33" x14ac:dyDescent="0.2">
      <c r="A67" s="42"/>
      <c r="E67" s="42"/>
      <c r="F67" s="1"/>
      <c r="G67" s="1"/>
      <c r="H67" s="41"/>
      <c r="Q67" s="1"/>
      <c r="R67" s="1"/>
      <c r="AC67" s="18"/>
      <c r="AD67" s="37"/>
      <c r="AE67" s="18"/>
      <c r="AF67" s="18"/>
      <c r="AG67" s="37"/>
    </row>
    <row r="68" spans="1:33" x14ac:dyDescent="0.2">
      <c r="A68" s="42"/>
      <c r="E68" s="42"/>
      <c r="F68" s="1"/>
      <c r="G68" s="1"/>
      <c r="H68" s="41"/>
      <c r="Q68" s="1"/>
      <c r="R68" s="1"/>
      <c r="AC68" s="18"/>
      <c r="AD68" s="37"/>
      <c r="AE68" s="18"/>
      <c r="AF68" s="18"/>
      <c r="AG68" s="37"/>
    </row>
    <row r="69" spans="1:33" x14ac:dyDescent="0.2">
      <c r="A69" s="42"/>
      <c r="E69" s="42"/>
      <c r="F69" s="1"/>
      <c r="G69" s="1"/>
      <c r="H69" s="41"/>
      <c r="Q69" s="1"/>
      <c r="R69" s="1"/>
      <c r="AC69" s="18"/>
      <c r="AD69" s="37"/>
      <c r="AE69" s="18"/>
      <c r="AF69" s="18"/>
      <c r="AG69" s="37"/>
    </row>
    <row r="70" spans="1:33" x14ac:dyDescent="0.2">
      <c r="A70" s="42"/>
      <c r="E70" s="42"/>
      <c r="F70" s="1"/>
      <c r="G70" s="1"/>
      <c r="H70" s="41"/>
      <c r="Q70" s="1"/>
      <c r="R70" s="1"/>
      <c r="AC70" s="18"/>
      <c r="AD70" s="37"/>
      <c r="AE70" s="18"/>
      <c r="AF70" s="18"/>
      <c r="AG70" s="37"/>
    </row>
    <row r="71" spans="1:33" x14ac:dyDescent="0.2">
      <c r="A71" s="42"/>
      <c r="E71" s="42"/>
      <c r="F71" s="1"/>
      <c r="G71" s="1"/>
      <c r="H71" s="41"/>
      <c r="Q71" s="1"/>
      <c r="R71" s="1"/>
      <c r="AC71" s="18"/>
      <c r="AD71" s="37"/>
      <c r="AE71" s="18"/>
      <c r="AF71" s="18"/>
      <c r="AG71" s="37"/>
    </row>
    <row r="72" spans="1:33" x14ac:dyDescent="0.2">
      <c r="A72" s="42"/>
      <c r="E72" s="42"/>
      <c r="F72" s="1"/>
      <c r="G72" s="1"/>
      <c r="H72" s="41"/>
      <c r="Q72" s="1"/>
      <c r="R72" s="1"/>
      <c r="AC72" s="18"/>
      <c r="AD72" s="37"/>
      <c r="AE72" s="18"/>
      <c r="AF72" s="18"/>
      <c r="AG72" s="37"/>
    </row>
    <row r="73" spans="1:33" x14ac:dyDescent="0.2">
      <c r="A73" s="42"/>
      <c r="E73" s="42"/>
      <c r="F73" s="1"/>
      <c r="G73" s="1"/>
      <c r="H73" s="41"/>
      <c r="Q73" s="1"/>
      <c r="R73" s="1"/>
      <c r="AC73" s="18"/>
      <c r="AD73" s="37"/>
      <c r="AE73" s="18"/>
      <c r="AF73" s="18"/>
      <c r="AG73" s="37"/>
    </row>
    <row r="74" spans="1:33" x14ac:dyDescent="0.2">
      <c r="A74" s="42"/>
      <c r="E74" s="42"/>
      <c r="F74" s="1"/>
      <c r="G74" s="1"/>
      <c r="H74" s="41"/>
      <c r="Q74" s="1"/>
      <c r="R74" s="1"/>
      <c r="AC74" s="18"/>
      <c r="AD74" s="37"/>
      <c r="AE74" s="18"/>
      <c r="AF74" s="18"/>
      <c r="AG74" s="37"/>
    </row>
    <row r="75" spans="1:33" x14ac:dyDescent="0.2">
      <c r="A75" s="42"/>
      <c r="E75" s="42"/>
      <c r="F75" s="1"/>
      <c r="G75" s="1"/>
      <c r="H75" s="41"/>
      <c r="Q75" s="1"/>
      <c r="R75" s="1"/>
      <c r="AC75" s="18"/>
      <c r="AD75" s="37"/>
      <c r="AE75" s="18"/>
      <c r="AF75" s="18"/>
      <c r="AG75" s="37"/>
    </row>
    <row r="76" spans="1:33" x14ac:dyDescent="0.2">
      <c r="A76" s="42"/>
      <c r="E76" s="42"/>
      <c r="F76" s="1"/>
      <c r="G76" s="1"/>
      <c r="H76" s="41"/>
      <c r="Q76" s="1"/>
      <c r="R76" s="1"/>
      <c r="AC76" s="18"/>
      <c r="AD76" s="37"/>
      <c r="AE76" s="18"/>
      <c r="AF76" s="18"/>
      <c r="AG76" s="37"/>
    </row>
    <row r="77" spans="1:33" x14ac:dyDescent="0.2">
      <c r="A77" s="42"/>
      <c r="E77" s="42"/>
      <c r="F77" s="1"/>
      <c r="G77" s="1"/>
      <c r="H77" s="41"/>
      <c r="Q77" s="1"/>
      <c r="R77" s="1"/>
      <c r="AC77" s="18"/>
      <c r="AD77" s="37"/>
      <c r="AE77" s="18"/>
      <c r="AF77" s="18"/>
      <c r="AG77" s="37"/>
    </row>
    <row r="78" spans="1:33" x14ac:dyDescent="0.2">
      <c r="A78" s="42"/>
      <c r="E78" s="42"/>
      <c r="F78" s="1"/>
      <c r="G78" s="1"/>
      <c r="H78" s="41"/>
      <c r="Q78" s="1"/>
      <c r="R78" s="1"/>
      <c r="AC78" s="18"/>
      <c r="AD78" s="37"/>
      <c r="AE78" s="18"/>
      <c r="AF78" s="18"/>
      <c r="AG78" s="37"/>
    </row>
    <row r="79" spans="1:33" x14ac:dyDescent="0.2">
      <c r="A79" s="42"/>
      <c r="E79" s="42"/>
      <c r="F79" s="1"/>
      <c r="G79" s="1"/>
      <c r="H79" s="41"/>
      <c r="Q79" s="1"/>
      <c r="R79" s="1"/>
      <c r="AC79" s="18"/>
      <c r="AD79" s="37"/>
      <c r="AE79" s="18"/>
      <c r="AF79" s="18"/>
      <c r="AG79" s="37"/>
    </row>
    <row r="80" spans="1:33" x14ac:dyDescent="0.2">
      <c r="A80" s="42"/>
      <c r="E80" s="42"/>
      <c r="F80" s="1"/>
      <c r="G80" s="1"/>
      <c r="H80" s="41"/>
      <c r="Q80" s="1"/>
      <c r="R80" s="1"/>
      <c r="AC80" s="18"/>
      <c r="AD80" s="37"/>
      <c r="AE80" s="18"/>
      <c r="AF80" s="18"/>
      <c r="AG80" s="37"/>
    </row>
    <row r="81" spans="1:33" x14ac:dyDescent="0.2">
      <c r="A81" s="42"/>
      <c r="E81" s="42"/>
      <c r="F81" s="1"/>
      <c r="G81" s="1"/>
      <c r="H81" s="41"/>
      <c r="Q81" s="1"/>
      <c r="R81" s="1"/>
      <c r="AC81" s="18"/>
      <c r="AD81" s="37"/>
      <c r="AE81" s="18"/>
      <c r="AF81" s="18"/>
      <c r="AG81" s="37"/>
    </row>
    <row r="82" spans="1:33" x14ac:dyDescent="0.2">
      <c r="A82" s="42"/>
      <c r="E82" s="42"/>
      <c r="F82" s="1"/>
      <c r="G82" s="1"/>
      <c r="H82" s="41"/>
      <c r="Q82" s="1"/>
      <c r="R82" s="1"/>
      <c r="AC82" s="18"/>
      <c r="AD82" s="37"/>
      <c r="AE82" s="18"/>
      <c r="AF82" s="18"/>
      <c r="AG82" s="37"/>
    </row>
    <row r="83" spans="1:33" x14ac:dyDescent="0.2">
      <c r="A83" s="42"/>
      <c r="E83" s="42"/>
      <c r="F83" s="1"/>
      <c r="G83" s="1"/>
      <c r="H83" s="41"/>
      <c r="Q83" s="1"/>
      <c r="R83" s="1"/>
      <c r="AC83" s="18"/>
      <c r="AD83" s="37"/>
      <c r="AE83" s="18"/>
      <c r="AF83" s="18"/>
      <c r="AG83" s="37"/>
    </row>
    <row r="84" spans="1:33" x14ac:dyDescent="0.2">
      <c r="A84" s="42"/>
      <c r="E84" s="42"/>
      <c r="F84" s="1"/>
      <c r="G84" s="1"/>
      <c r="H84" s="41"/>
      <c r="Q84" s="1"/>
      <c r="R84" s="1"/>
      <c r="AC84" s="18"/>
      <c r="AD84" s="37"/>
      <c r="AE84" s="18"/>
      <c r="AF84" s="18"/>
      <c r="AG84" s="37"/>
    </row>
    <row r="85" spans="1:33" x14ac:dyDescent="0.2">
      <c r="A85" s="42"/>
      <c r="E85" s="42"/>
      <c r="F85" s="1"/>
      <c r="G85" s="1"/>
      <c r="H85" s="41"/>
      <c r="Q85" s="1"/>
      <c r="R85" s="1"/>
      <c r="AC85" s="18"/>
      <c r="AD85" s="37"/>
      <c r="AE85" s="18"/>
      <c r="AF85" s="18"/>
      <c r="AG85" s="37"/>
    </row>
    <row r="86" spans="1:33" x14ac:dyDescent="0.2">
      <c r="A86" s="42"/>
      <c r="E86" s="42"/>
      <c r="F86" s="1"/>
      <c r="G86" s="1"/>
      <c r="H86" s="41"/>
      <c r="Q86" s="1"/>
      <c r="R86" s="1"/>
      <c r="AC86" s="18"/>
      <c r="AD86" s="37"/>
      <c r="AE86" s="18"/>
      <c r="AF86" s="18"/>
      <c r="AG86" s="37"/>
    </row>
    <row r="87" spans="1:33" x14ac:dyDescent="0.2">
      <c r="A87" s="42"/>
      <c r="E87" s="42"/>
      <c r="F87" s="1"/>
      <c r="G87" s="1"/>
      <c r="H87" s="41"/>
      <c r="Q87" s="1"/>
      <c r="R87" s="1"/>
      <c r="AC87" s="18"/>
      <c r="AD87" s="37"/>
      <c r="AE87" s="18"/>
      <c r="AF87" s="18"/>
      <c r="AG87" s="37"/>
    </row>
    <row r="88" spans="1:33" x14ac:dyDescent="0.2">
      <c r="AC88" s="18"/>
      <c r="AD88" s="37"/>
      <c r="AE88" s="18"/>
      <c r="AF88" s="18"/>
      <c r="AG88" s="37"/>
    </row>
    <row r="89" spans="1:33" x14ac:dyDescent="0.2">
      <c r="AC89" s="18"/>
      <c r="AD89" s="37"/>
      <c r="AE89" s="18"/>
      <c r="AF89" s="18"/>
      <c r="AG89" s="37"/>
    </row>
  </sheetData>
  <mergeCells count="11">
    <mergeCell ref="X2:Y2"/>
    <mergeCell ref="B1:C1"/>
    <mergeCell ref="D1:L1"/>
    <mergeCell ref="O1:Y1"/>
    <mergeCell ref="Z1:AB1"/>
    <mergeCell ref="B2:C2"/>
    <mergeCell ref="F2:G2"/>
    <mergeCell ref="K2:L2"/>
    <mergeCell ref="M2:N2"/>
    <mergeCell ref="Q2:R2"/>
    <mergeCell ref="V2:W2"/>
  </mergeCells>
  <conditionalFormatting sqref="Q4:R45 F4:G45">
    <cfRule type="colorScale" priority="2">
      <colorScale>
        <cfvo type="min"/>
        <cfvo type="percentile" val="50"/>
        <cfvo type="max"/>
        <color rgb="FFF8696B"/>
        <color rgb="FFFCFCFF"/>
        <color rgb="FF5A8AC6"/>
      </colorScale>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Caption Table S1</vt:lpstr>
      <vt:lpstr>Table 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Stervander</dc:creator>
  <cp:lastModifiedBy>Martin Stervander</cp:lastModifiedBy>
  <dcterms:created xsi:type="dcterms:W3CDTF">2025-05-06T11:07:39Z</dcterms:created>
  <dcterms:modified xsi:type="dcterms:W3CDTF">2025-08-14T19:11:04Z</dcterms:modified>
</cp:coreProperties>
</file>